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 analysis" sheetId="1" r:id="rId5"/>
    <sheet state="visible" name="Cohort analysis" sheetId="2" r:id="rId6"/>
    <sheet state="visible" name="3 cohort analysis" sheetId="3" r:id="rId7"/>
    <sheet state="visible" name="Year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<sst xmlns="http://schemas.openxmlformats.org/spreadsheetml/2006/main" count="152" uniqueCount="41">
  <si>
    <t>Decile analysis</t>
  </si>
  <si>
    <t>Decile</t>
  </si>
  <si>
    <t># Customers</t>
  </si>
  <si>
    <t>Total Transactions</t>
  </si>
  <si>
    <t>Revenue</t>
  </si>
  <si>
    <t>Profit</t>
  </si>
  <si>
    <t>% Customers</t>
  </si>
  <si>
    <t>% Transactions</t>
  </si>
  <si>
    <t>% Revenue</t>
  </si>
  <si>
    <t>% Profit</t>
  </si>
  <si>
    <t>Avg spend/cust</t>
  </si>
  <si>
    <t>Avg profit/cust</t>
  </si>
  <si>
    <t>AOF</t>
  </si>
  <si>
    <t>AOV</t>
  </si>
  <si>
    <t>Avg margin</t>
  </si>
  <si>
    <t>Cohort analysis</t>
  </si>
  <si>
    <t>Quarter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</si>
  <si>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</si>
  <si>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</si>
  <si>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</si>
  <si>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</si>
  <si>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</si>
  <si>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</si>
  <si>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</si>
  <si>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</si>
  <si>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</si>
  <si>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</si>
  <si>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</si>
  <si>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</si>
  <si>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</si>
  <si>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</si>
  <si>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</si>
  <si>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</si>
  <si>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</si>
  <si>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Avg spend/active customer</t>
  </si>
  <si>
    <t>3 cohort analysis</t>
  </si>
  <si>
    <t>Q3 2021</t>
  </si>
  <si>
    <t>Q4 2021</t>
  </si>
  <si>
    <t>Q4 2022</t>
  </si>
  <si>
    <t>Table 4 Yearly summaries for all cohorts of customers, including those acquired before 2021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</si>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</sst>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$-409]#,##0"/>
    <numFmt numFmtId="166" formatCode="_(* #,##0_);_(* \(#,##0\);_(* &quot;-&quot;??_);_(@_)"/>
    <numFmt numFmtId="167" formatCode="_(* #,##0.0_);_(* \(#,##0.0\);_(* &quot;-&quot;??_);_(@_)"/>
  </numFmts>
  <fonts count="10">
    <font>
      <sz val="10.0"/>
      <color rgb="FF000000"/>
      <name val="Arial"/>
      <scheme val="minor"/>
    </font>
    <font>
      <sz val="14.0"/>
      <color rgb="FF0070C0"/>
      <name val="Calibri"/>
    </font>
    <font>
      <b/>
      <sz val="11.0"/>
      <color rgb="FFC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Helvetica Neue"/>
    </font>
    <font>
      <sz val="11.0"/>
      <color rgb="FF000000"/>
      <name val="Calibri"/>
    </font>
    <font>
      <b/>
      <color theme="1"/>
      <name val="&quot;Calibri&quot;"/>
    </font>
    <font>
      <sz val="11.0"/>
      <color rgb="FFC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14">
    <border/>
    <border>
      <left/>
      <right/>
      <top/>
      <bottom/>
    </border>
    <border>
      <bottom style="thin">
        <color theme="1"/>
      </bottom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bottom style="double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right"/>
    </xf>
    <xf borderId="0" fillId="0" fontId="3" numFmtId="0" xfId="0" applyAlignment="1" applyFont="1">
      <alignment horizontal="right"/>
    </xf>
    <xf borderId="2" fillId="0" fontId="3" numFmtId="0" xfId="0" applyAlignment="1" applyBorder="1" applyFont="1">
      <alignment horizontal="right"/>
    </xf>
    <xf borderId="3" fillId="2" fontId="3" numFmtId="0" xfId="0" applyAlignment="1" applyBorder="1" applyFont="1">
      <alignment horizontal="right"/>
    </xf>
    <xf borderId="3" fillId="2" fontId="3" numFmtId="3" xfId="0" applyBorder="1" applyFont="1" applyNumberFormat="1"/>
    <xf borderId="0" fillId="0" fontId="3" numFmtId="9" xfId="0" applyFont="1" applyNumberFormat="1"/>
    <xf borderId="0" fillId="0" fontId="3" numFmtId="4" xfId="0" applyFont="1" applyNumberFormat="1"/>
    <xf borderId="0" fillId="0" fontId="3" numFmtId="164" xfId="0" applyFont="1" applyNumberFormat="1"/>
    <xf borderId="0" fillId="0" fontId="3" numFmtId="165" xfId="0" applyFont="1" applyNumberFormat="1"/>
    <xf borderId="1" fillId="2" fontId="3" numFmtId="3" xfId="0" applyBorder="1" applyFont="1" applyNumberFormat="1"/>
    <xf borderId="4" fillId="2" fontId="3" numFmtId="0" xfId="0" applyAlignment="1" applyBorder="1" applyFont="1">
      <alignment horizontal="right"/>
    </xf>
    <xf borderId="4" fillId="2" fontId="3" numFmtId="3" xfId="0" applyBorder="1" applyFont="1" applyNumberFormat="1"/>
    <xf borderId="5" fillId="0" fontId="3" numFmtId="0" xfId="0" applyAlignment="1" applyBorder="1" applyFont="1">
      <alignment horizontal="right"/>
    </xf>
    <xf borderId="5" fillId="0" fontId="3" numFmtId="9" xfId="0" applyBorder="1" applyFont="1" applyNumberFormat="1"/>
    <xf borderId="5" fillId="0" fontId="3" numFmtId="4" xfId="0" applyBorder="1" applyFont="1" applyNumberFormat="1"/>
    <xf borderId="5" fillId="0" fontId="3" numFmtId="164" xfId="0" applyBorder="1" applyFont="1" applyNumberFormat="1"/>
    <xf borderId="5" fillId="0" fontId="3" numFmtId="165" xfId="0" applyBorder="1" applyFont="1" applyNumberFormat="1"/>
    <xf borderId="1" fillId="2" fontId="3" numFmtId="0" xfId="0" applyBorder="1" applyFont="1"/>
    <xf borderId="6" fillId="3" fontId="4" numFmtId="0" xfId="0" applyAlignment="1" applyBorder="1" applyFill="1" applyFont="1">
      <alignment horizontal="right"/>
    </xf>
    <xf borderId="6" fillId="3" fontId="3" numFmtId="0" xfId="0" applyAlignment="1" applyBorder="1" applyFont="1">
      <alignment horizontal="right"/>
    </xf>
    <xf borderId="6" fillId="3" fontId="3" numFmtId="9" xfId="0" applyBorder="1" applyFont="1" applyNumberFormat="1"/>
    <xf borderId="6" fillId="3" fontId="3" numFmtId="4" xfId="0" applyBorder="1" applyFont="1" applyNumberFormat="1"/>
    <xf borderId="6" fillId="3" fontId="3" numFmtId="164" xfId="0" applyBorder="1" applyFont="1" applyNumberFormat="1"/>
    <xf borderId="6" fillId="3" fontId="3" numFmtId="165" xfId="0" applyBorder="1" applyFont="1" applyNumberFormat="1"/>
    <xf borderId="7" fillId="3" fontId="3" numFmtId="0" xfId="0" applyAlignment="1" applyBorder="1" applyFont="1">
      <alignment horizontal="right"/>
    </xf>
    <xf borderId="7" fillId="3" fontId="3" numFmtId="9" xfId="0" applyBorder="1" applyFont="1" applyNumberFormat="1"/>
    <xf borderId="7" fillId="3" fontId="3" numFmtId="4" xfId="0" applyBorder="1" applyFont="1" applyNumberFormat="1"/>
    <xf borderId="7" fillId="3" fontId="3" numFmtId="164" xfId="0" applyBorder="1" applyFont="1" applyNumberFormat="1"/>
    <xf borderId="7" fillId="3" fontId="3" numFmtId="165" xfId="0" applyBorder="1" applyFont="1" applyNumberFormat="1"/>
    <xf borderId="8" fillId="3" fontId="5" numFmtId="0" xfId="0" applyBorder="1" applyFont="1"/>
    <xf borderId="8" fillId="3" fontId="3" numFmtId="4" xfId="0" applyBorder="1" applyFont="1" applyNumberFormat="1"/>
    <xf borderId="8" fillId="3" fontId="3" numFmtId="164" xfId="0" applyBorder="1" applyFont="1" applyNumberFormat="1"/>
    <xf borderId="8" fillId="3" fontId="3" numFmtId="165" xfId="0" applyBorder="1" applyFont="1" applyNumberFormat="1"/>
    <xf borderId="8" fillId="3" fontId="3" numFmtId="9" xfId="0" applyBorder="1" applyFont="1" applyNumberFormat="1"/>
    <xf borderId="0" fillId="0" fontId="3" numFmtId="0" xfId="0" applyAlignment="1" applyFont="1">
      <alignment horizontal="center"/>
    </xf>
    <xf borderId="1" fillId="2" fontId="3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3" fillId="2" fontId="3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right" readingOrder="0"/>
    </xf>
    <xf borderId="4" fillId="2" fontId="3" numFmtId="0" xfId="0" applyAlignment="1" applyBorder="1" applyFont="1">
      <alignment horizontal="right" readingOrder="0"/>
    </xf>
    <xf borderId="6" fillId="4" fontId="4" numFmtId="0" xfId="0" applyAlignment="1" applyBorder="1" applyFill="1" applyFont="1">
      <alignment horizontal="right" shrinkToFit="0" wrapText="1"/>
    </xf>
    <xf borderId="6" fillId="4" fontId="3" numFmtId="0" xfId="0" applyAlignment="1" applyBorder="1" applyFont="1">
      <alignment horizontal="right"/>
    </xf>
    <xf borderId="6" fillId="4" fontId="3" numFmtId="3" xfId="0" applyBorder="1" applyFont="1" applyNumberFormat="1"/>
    <xf borderId="6" fillId="4" fontId="3" numFmtId="166" xfId="0" applyBorder="1" applyFont="1" applyNumberFormat="1"/>
    <xf borderId="6" fillId="4" fontId="3" numFmtId="9" xfId="0" applyBorder="1" applyFont="1" applyNumberFormat="1"/>
    <xf borderId="6" fillId="4" fontId="3" numFmtId="1" xfId="0" applyBorder="1" applyFont="1" applyNumberFormat="1"/>
    <xf borderId="6" fillId="4" fontId="3" numFmtId="164" xfId="0" applyBorder="1" applyFont="1" applyNumberFormat="1"/>
    <xf borderId="0" fillId="0" fontId="6" numFmtId="0" xfId="0" applyAlignment="1" applyFont="1">
      <alignment horizontal="center"/>
    </xf>
    <xf borderId="0" fillId="0" fontId="6" numFmtId="0" xfId="0" applyFont="1"/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5" numFmtId="4" xfId="0" applyFont="1" applyNumberFormat="1"/>
    <xf borderId="1" fillId="2" fontId="3" numFmtId="4" xfId="0" applyAlignment="1" applyBorder="1" applyFont="1" applyNumberFormat="1">
      <alignment horizontal="right" shrinkToFit="0" wrapText="1"/>
    </xf>
    <xf borderId="1" fillId="2" fontId="3" numFmtId="4" xfId="0" applyBorder="1" applyFont="1" applyNumberFormat="1"/>
    <xf borderId="4" fillId="2" fontId="3" numFmtId="4" xfId="0" applyBorder="1" applyFont="1" applyNumberFormat="1"/>
    <xf borderId="6" fillId="5" fontId="3" numFmtId="0" xfId="0" applyAlignment="1" applyBorder="1" applyFill="1" applyFont="1">
      <alignment shrinkToFit="0" wrapText="1"/>
    </xf>
    <xf borderId="6" fillId="6" fontId="3" numFmtId="0" xfId="0" applyAlignment="1" applyBorder="1" applyFill="1" applyFont="1">
      <alignment shrinkToFit="0" wrapText="1"/>
    </xf>
    <xf borderId="6" fillId="7" fontId="3" numFmtId="0" xfId="0" applyAlignment="1" applyBorder="1" applyFill="1" applyFont="1">
      <alignment shrinkToFit="0" wrapText="1"/>
    </xf>
    <xf borderId="6" fillId="5" fontId="3" numFmtId="0" xfId="0" applyAlignment="1" applyBorder="1" applyFont="1">
      <alignment horizontal="right"/>
    </xf>
    <xf borderId="6" fillId="5" fontId="3" numFmtId="166" xfId="0" applyBorder="1" applyFont="1" applyNumberFormat="1"/>
    <xf borderId="6" fillId="5" fontId="3" numFmtId="9" xfId="0" applyBorder="1" applyFont="1" applyNumberFormat="1"/>
    <xf borderId="6" fillId="5" fontId="3" numFmtId="1" xfId="0" applyBorder="1" applyFont="1" applyNumberFormat="1"/>
    <xf borderId="6" fillId="5" fontId="3" numFmtId="164" xfId="0" applyBorder="1" applyFont="1" applyNumberFormat="1"/>
    <xf borderId="6" fillId="6" fontId="5" numFmtId="0" xfId="0" applyBorder="1" applyFont="1"/>
    <xf borderId="6" fillId="6" fontId="3" numFmtId="167" xfId="0" applyBorder="1" applyFont="1" applyNumberFormat="1"/>
    <xf borderId="6" fillId="6" fontId="3" numFmtId="166" xfId="0" applyBorder="1" applyFont="1" applyNumberFormat="1"/>
    <xf borderId="6" fillId="6" fontId="3" numFmtId="9" xfId="0" applyBorder="1" applyFont="1" applyNumberFormat="1"/>
    <xf borderId="6" fillId="6" fontId="3" numFmtId="164" xfId="0" applyBorder="1" applyFont="1" applyNumberFormat="1"/>
    <xf borderId="6" fillId="7" fontId="5" numFmtId="0" xfId="0" applyBorder="1" applyFont="1"/>
    <xf borderId="6" fillId="7" fontId="3" numFmtId="167" xfId="0" applyBorder="1" applyFont="1" applyNumberFormat="1"/>
    <xf borderId="6" fillId="7" fontId="3" numFmtId="166" xfId="0" applyBorder="1" applyFont="1" applyNumberFormat="1"/>
    <xf borderId="6" fillId="7" fontId="3" numFmtId="9" xfId="0" applyBorder="1" applyFont="1" applyNumberFormat="1"/>
    <xf borderId="6" fillId="7" fontId="3" numFmtId="164" xfId="0" applyBorder="1" applyFont="1" applyNumberFormat="1"/>
    <xf borderId="6" fillId="6" fontId="3" numFmtId="0" xfId="0" applyAlignment="1" applyBorder="1" applyFont="1">
      <alignment horizontal="right"/>
    </xf>
    <xf borderId="6" fillId="6" fontId="3" numFmtId="1" xfId="0" applyBorder="1" applyFont="1" applyNumberFormat="1"/>
    <xf borderId="6" fillId="7" fontId="3" numFmtId="0" xfId="0" applyAlignment="1" applyBorder="1" applyFont="1">
      <alignment horizontal="right" readingOrder="0"/>
    </xf>
    <xf borderId="6" fillId="7" fontId="3" numFmtId="1" xfId="0" applyBorder="1" applyFont="1" applyNumberFormat="1"/>
    <xf borderId="6" fillId="7" fontId="3" numFmtId="1" xfId="0" applyAlignment="1" applyBorder="1" applyFont="1" applyNumberFormat="1">
      <alignment horizontal="right"/>
    </xf>
    <xf borderId="6" fillId="7" fontId="3" numFmtId="0" xfId="0" applyAlignment="1" applyBorder="1" applyFont="1">
      <alignment horizontal="right"/>
    </xf>
    <xf borderId="6" fillId="5" fontId="7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center"/>
    </xf>
    <xf borderId="9" fillId="0" fontId="5" numFmtId="0" xfId="0" applyAlignment="1" applyBorder="1" applyFont="1">
      <alignment readingOrder="0"/>
    </xf>
    <xf borderId="10" fillId="0" fontId="5" numFmtId="0" xfId="0" applyBorder="1" applyFont="1"/>
    <xf borderId="9" fillId="8" fontId="3" numFmtId="0" xfId="0" applyAlignment="1" applyBorder="1" applyFill="1" applyFont="1">
      <alignment shrinkToFit="0" wrapText="1"/>
    </xf>
    <xf borderId="11" fillId="0" fontId="5" numFmtId="0" xfId="0" applyBorder="1" applyFont="1"/>
    <xf borderId="6" fillId="0" fontId="3" numFmtId="0" xfId="0" applyAlignment="1" applyBorder="1" applyFont="1">
      <alignment horizontal="center"/>
    </xf>
    <xf borderId="12" fillId="9" fontId="3" numFmtId="0" xfId="0" applyAlignment="1" applyBorder="1" applyFill="1" applyFont="1">
      <alignment horizontal="right" readingOrder="0"/>
    </xf>
    <xf borderId="12" fillId="10" fontId="3" numFmtId="0" xfId="0" applyAlignment="1" applyBorder="1" applyFill="1" applyFont="1">
      <alignment horizontal="right" readingOrder="0"/>
    </xf>
    <xf borderId="12" fillId="11" fontId="3" numFmtId="0" xfId="0" applyAlignment="1" applyBorder="1" applyFill="1" applyFont="1">
      <alignment horizontal="right" readingOrder="0"/>
    </xf>
    <xf borderId="6" fillId="9" fontId="3" numFmtId="9" xfId="0" applyBorder="1" applyFont="1" applyNumberFormat="1"/>
    <xf borderId="6" fillId="10" fontId="3" numFmtId="1" xfId="0" applyBorder="1" applyFont="1" applyNumberFormat="1"/>
    <xf borderId="6" fillId="11" fontId="3" numFmtId="1" xfId="0" applyBorder="1" applyFont="1" applyNumberFormat="1"/>
    <xf borderId="6" fillId="0" fontId="3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1" fillId="2" fontId="9" numFmtId="0" xfId="0" applyBorder="1" applyFont="1"/>
    <xf borderId="13" fillId="2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analysis'!$B$42:$B$55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analysis'!$C$42:$C$55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analysis'!$D$42:$D$55</c:f>
              <c:numCache/>
            </c:numRef>
          </c:val>
          <c:smooth val="0"/>
        </c:ser>
        <c:axId val="269203546"/>
        <c:axId val="1951021253"/>
      </c:lineChart>
      <c:catAx>
        <c:axId val="269203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1021253"/>
      </c:catAx>
      <c:valAx>
        <c:axId val="195102125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9203546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analysis'!$E$42:$E$55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analysis'!$F$42:$F$55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analysis'!$G$42:$G$55</c:f>
              <c:numCache/>
            </c:numRef>
          </c:val>
          <c:smooth val="0"/>
        </c:ser>
        <c:axId val="315335279"/>
        <c:axId val="2048909821"/>
      </c:lineChart>
      <c:catAx>
        <c:axId val="315335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8909821"/>
      </c:catAx>
      <c:valAx>
        <c:axId val="204890982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53352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analysis'!$H$42:$H$55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analysis'!$I$42:$I$55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analysis'!$A$42:$A$55</c:f>
            </c:strRef>
          </c:cat>
          <c:val>
            <c:numRef>
              <c:f>'3 cohort analysis'!$J$42:$J$55</c:f>
              <c:numCache/>
            </c:numRef>
          </c:val>
          <c:smooth val="0"/>
        </c:ser>
        <c:axId val="2121227154"/>
        <c:axId val="183984486"/>
      </c:lineChart>
      <c:catAx>
        <c:axId val="2121227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984486"/>
      </c:catAx>
      <c:valAx>
        <c:axId val="183984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122715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55</xdr:row>
      <xdr:rowOff>104775</xdr:rowOff>
    </xdr:from>
    <xdr:ext cx="3362325" cy="1943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</xdr:colOff>
      <xdr:row>55</xdr:row>
      <xdr:rowOff>85725</xdr:rowOff>
    </xdr:from>
    <xdr:ext cx="3286125" cy="1990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19050</xdr:colOff>
      <xdr:row>55</xdr:row>
      <xdr:rowOff>104775</xdr:rowOff>
    </xdr:from>
    <xdr:ext cx="3286125" cy="1990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5"/>
    <col customWidth="1" min="3" max="3" width="14.38"/>
    <col customWidth="1" min="4" max="4" width="11.5"/>
    <col customWidth="1" min="5" max="5" width="16.13"/>
    <col customWidth="1" min="6" max="6" width="13.13"/>
    <col customWidth="1" min="7" max="7" width="11.75"/>
    <col customWidth="1" min="8" max="9" width="7.75"/>
    <col customWidth="1" min="10" max="11" width="13.5"/>
    <col customWidth="1" min="12" max="20" width="7.75"/>
  </cols>
  <sheetData>
    <row r="1" ht="14.25" customHeight="1">
      <c r="A1" s="1" t="s">
        <v>0</v>
      </c>
    </row>
    <row r="2" ht="14.25" customHeight="1">
      <c r="A2" s="2"/>
    </row>
    <row r="3" ht="1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G3" s="4"/>
      <c r="H3" s="4"/>
      <c r="I3" s="4"/>
      <c r="J3" s="4"/>
      <c r="K3" s="4"/>
      <c r="L3" s="5"/>
      <c r="M3" s="5"/>
      <c r="N3" s="5"/>
      <c r="O3" s="5"/>
      <c r="P3" s="5"/>
    </row>
    <row r="4" ht="14.25" customHeight="1">
      <c r="A4" s="6">
        <v>1.0</v>
      </c>
      <c r="B4" s="7">
        <v>3180.0</v>
      </c>
      <c r="C4" s="7">
        <v>17503.0</v>
      </c>
      <c r="D4" s="7">
        <v>1.28952505E8</v>
      </c>
      <c r="E4" s="7">
        <v>6.2160175E7</v>
      </c>
      <c r="G4" s="4"/>
      <c r="H4" s="8"/>
      <c r="I4" s="8"/>
      <c r="J4" s="8"/>
      <c r="K4" s="8"/>
      <c r="L4" s="9"/>
      <c r="M4" s="9"/>
      <c r="N4" s="10"/>
      <c r="O4" s="11"/>
      <c r="P4" s="8"/>
    </row>
    <row r="5" ht="14.25" customHeight="1">
      <c r="A5" s="3">
        <v>2.0</v>
      </c>
      <c r="B5" s="12">
        <v>3180.0</v>
      </c>
      <c r="C5" s="12">
        <v>8703.0</v>
      </c>
      <c r="D5" s="12">
        <v>5.5542905E7</v>
      </c>
      <c r="E5" s="12">
        <v>2.707903E7</v>
      </c>
      <c r="G5" s="4"/>
      <c r="H5" s="8"/>
      <c r="I5" s="8"/>
      <c r="J5" s="8"/>
      <c r="K5" s="8"/>
      <c r="L5" s="9"/>
      <c r="M5" s="9"/>
      <c r="N5" s="10"/>
      <c r="O5" s="11"/>
      <c r="P5" s="8"/>
    </row>
    <row r="6" ht="14.25" customHeight="1">
      <c r="A6" s="3">
        <v>3.0</v>
      </c>
      <c r="B6" s="12">
        <v>3177.0</v>
      </c>
      <c r="C6" s="12">
        <v>6345.0</v>
      </c>
      <c r="D6" s="12">
        <v>3.8274225E7</v>
      </c>
      <c r="E6" s="12">
        <v>1.8722055E7</v>
      </c>
      <c r="G6" s="4"/>
      <c r="H6" s="8"/>
      <c r="I6" s="8"/>
      <c r="J6" s="8"/>
      <c r="K6" s="8"/>
      <c r="L6" s="9"/>
      <c r="M6" s="9"/>
      <c r="N6" s="10"/>
      <c r="O6" s="11"/>
      <c r="P6" s="8"/>
    </row>
    <row r="7" ht="14.25" customHeight="1">
      <c r="A7" s="3">
        <v>4.0</v>
      </c>
      <c r="B7" s="12">
        <v>3178.0</v>
      </c>
      <c r="C7" s="12">
        <v>5349.0</v>
      </c>
      <c r="D7" s="12">
        <v>2.901701E7</v>
      </c>
      <c r="E7" s="12">
        <v>1.3916595E7</v>
      </c>
      <c r="G7" s="4"/>
      <c r="H7" s="8"/>
      <c r="I7" s="8"/>
      <c r="J7" s="8"/>
      <c r="K7" s="8"/>
      <c r="L7" s="9"/>
      <c r="M7" s="9"/>
      <c r="N7" s="10"/>
      <c r="O7" s="11"/>
      <c r="P7" s="8"/>
    </row>
    <row r="8" ht="14.25" customHeight="1">
      <c r="A8" s="3">
        <v>5.0</v>
      </c>
      <c r="B8" s="12">
        <v>3183.0</v>
      </c>
      <c r="C8" s="12">
        <v>4683.0</v>
      </c>
      <c r="D8" s="12">
        <v>2.2555225E7</v>
      </c>
      <c r="E8" s="12">
        <v>1.0734405E7</v>
      </c>
      <c r="G8" s="4"/>
      <c r="H8" s="8"/>
      <c r="I8" s="8"/>
      <c r="J8" s="8"/>
      <c r="K8" s="8"/>
      <c r="L8" s="9"/>
      <c r="M8" s="9"/>
      <c r="N8" s="10"/>
      <c r="O8" s="11"/>
      <c r="P8" s="8"/>
    </row>
    <row r="9" ht="14.25" customHeight="1">
      <c r="A9" s="3">
        <v>6.0</v>
      </c>
      <c r="B9" s="12">
        <v>3124.0</v>
      </c>
      <c r="C9" s="12">
        <v>4330.0</v>
      </c>
      <c r="D9" s="12">
        <v>1.7169955E7</v>
      </c>
      <c r="E9" s="12">
        <v>7948270.0</v>
      </c>
      <c r="G9" s="4"/>
      <c r="H9" s="8"/>
      <c r="I9" s="8"/>
      <c r="J9" s="8"/>
      <c r="K9" s="8"/>
      <c r="L9" s="9"/>
      <c r="M9" s="9"/>
      <c r="N9" s="10"/>
      <c r="O9" s="11"/>
      <c r="P9" s="8"/>
    </row>
    <row r="10" ht="14.25" customHeight="1">
      <c r="A10" s="3">
        <v>7.0</v>
      </c>
      <c r="B10" s="12">
        <v>3233.0</v>
      </c>
      <c r="C10" s="12">
        <v>4004.0</v>
      </c>
      <c r="D10" s="12">
        <v>1.347071E7</v>
      </c>
      <c r="E10" s="12">
        <v>6240025.0</v>
      </c>
      <c r="G10" s="4"/>
      <c r="H10" s="8"/>
      <c r="I10" s="8"/>
      <c r="J10" s="8"/>
      <c r="K10" s="8"/>
      <c r="L10" s="9"/>
      <c r="M10" s="9"/>
      <c r="N10" s="10"/>
      <c r="O10" s="11"/>
      <c r="P10" s="8"/>
    </row>
    <row r="11" ht="14.25" customHeight="1">
      <c r="A11" s="3">
        <v>8.0</v>
      </c>
      <c r="B11" s="12">
        <v>2996.0</v>
      </c>
      <c r="C11" s="12">
        <v>3414.0</v>
      </c>
      <c r="D11" s="12">
        <v>9381075.0</v>
      </c>
      <c r="E11" s="12">
        <v>4326685.0</v>
      </c>
      <c r="G11" s="4"/>
      <c r="H11" s="8"/>
      <c r="I11" s="8"/>
      <c r="J11" s="8"/>
      <c r="K11" s="8"/>
      <c r="L11" s="9"/>
      <c r="M11" s="9"/>
      <c r="N11" s="10"/>
      <c r="O11" s="11"/>
      <c r="P11" s="8"/>
    </row>
    <row r="12" ht="14.25" customHeight="1">
      <c r="A12" s="3">
        <v>9.0</v>
      </c>
      <c r="B12" s="12">
        <v>3360.0</v>
      </c>
      <c r="C12" s="12">
        <v>3659.0</v>
      </c>
      <c r="D12" s="12">
        <v>7496500.0</v>
      </c>
      <c r="E12" s="12">
        <v>3334100.0</v>
      </c>
      <c r="G12" s="4"/>
      <c r="H12" s="8"/>
      <c r="I12" s="8"/>
      <c r="J12" s="8"/>
      <c r="K12" s="8"/>
      <c r="L12" s="9"/>
      <c r="M12" s="9"/>
      <c r="N12" s="10"/>
      <c r="O12" s="11"/>
      <c r="P12" s="8"/>
    </row>
    <row r="13" ht="14.25" customHeight="1">
      <c r="A13" s="13">
        <v>10.0</v>
      </c>
      <c r="B13" s="14">
        <v>3186.0</v>
      </c>
      <c r="C13" s="14">
        <v>3270.0</v>
      </c>
      <c r="D13" s="14">
        <v>3740550.0</v>
      </c>
      <c r="E13" s="14">
        <v>1554795.0</v>
      </c>
      <c r="G13" s="15"/>
      <c r="H13" s="16"/>
      <c r="I13" s="16"/>
      <c r="J13" s="16"/>
      <c r="K13" s="16"/>
      <c r="L13" s="17"/>
      <c r="M13" s="17"/>
      <c r="N13" s="18"/>
      <c r="O13" s="19"/>
      <c r="P13" s="16"/>
    </row>
    <row r="14" ht="14.25" customHeight="1">
      <c r="A14" s="20"/>
      <c r="B14" s="12">
        <v>31797.0</v>
      </c>
      <c r="C14" s="12">
        <v>61260.0</v>
      </c>
      <c r="D14" s="12">
        <v>3.2560066E8</v>
      </c>
      <c r="E14" s="12">
        <v>1.56016135E8</v>
      </c>
      <c r="L14" s="9"/>
      <c r="M14" s="9"/>
      <c r="N14" s="10"/>
      <c r="O14" s="11"/>
      <c r="P14" s="8"/>
    </row>
    <row r="15" ht="14.25" customHeight="1"/>
    <row r="16" ht="14.25" customHeight="1"/>
    <row r="17" ht="14.25" customHeight="1"/>
    <row r="18" ht="14.25" customHeight="1">
      <c r="A18" s="21" t="s">
        <v>1</v>
      </c>
      <c r="B18" s="21" t="s">
        <v>6</v>
      </c>
      <c r="C18" s="21" t="s">
        <v>7</v>
      </c>
      <c r="D18" s="21" t="s">
        <v>8</v>
      </c>
      <c r="E18" s="21" t="s">
        <v>9</v>
      </c>
      <c r="F18" s="21" t="s">
        <v>10</v>
      </c>
      <c r="G18" s="21" t="s">
        <v>11</v>
      </c>
      <c r="H18" s="21" t="s">
        <v>12</v>
      </c>
      <c r="I18" s="21" t="s">
        <v>13</v>
      </c>
      <c r="J18" s="21" t="s">
        <v>14</v>
      </c>
    </row>
    <row r="19" ht="14.25" customHeight="1">
      <c r="A19" s="22">
        <v>1.0</v>
      </c>
      <c r="B19" s="23">
        <f t="shared" ref="B19:B28" si="2">B4/$B$14</f>
        <v>0.1000094349</v>
      </c>
      <c r="C19" s="23">
        <f t="shared" ref="C19:C28" si="3">C4/$C$14</f>
        <v>0.2857166177</v>
      </c>
      <c r="D19" s="23">
        <f t="shared" ref="D19:D28" si="4">D4/$D$14</f>
        <v>0.3960449742</v>
      </c>
      <c r="E19" s="23">
        <f t="shared" ref="E19:E28" si="5">E4/$E$14</f>
        <v>0.3984214517</v>
      </c>
      <c r="F19" s="24">
        <f t="shared" ref="F19:F29" si="6">D4/B4</f>
        <v>40551.1022</v>
      </c>
      <c r="G19" s="24">
        <f t="shared" ref="G19:G29" si="7">E4/B4</f>
        <v>19547.22484</v>
      </c>
      <c r="H19" s="25">
        <f t="shared" ref="H19:J19" si="1">C4/B4</f>
        <v>5.50408805</v>
      </c>
      <c r="I19" s="26">
        <f t="shared" si="1"/>
        <v>7367.45158</v>
      </c>
      <c r="J19" s="23">
        <f t="shared" si="1"/>
        <v>0.4820392981</v>
      </c>
    </row>
    <row r="20" ht="14.25" customHeight="1">
      <c r="A20" s="22">
        <v>2.0</v>
      </c>
      <c r="B20" s="23">
        <f t="shared" si="2"/>
        <v>0.1000094349</v>
      </c>
      <c r="C20" s="23">
        <f t="shared" si="3"/>
        <v>0.1420666014</v>
      </c>
      <c r="D20" s="23">
        <f t="shared" si="4"/>
        <v>0.1705859718</v>
      </c>
      <c r="E20" s="23">
        <f t="shared" si="5"/>
        <v>0.1735655738</v>
      </c>
      <c r="F20" s="24">
        <f t="shared" si="6"/>
        <v>17466.32233</v>
      </c>
      <c r="G20" s="24">
        <f t="shared" si="7"/>
        <v>8515.418239</v>
      </c>
      <c r="H20" s="25">
        <f t="shared" ref="H20:J20" si="8">C5/B5</f>
        <v>2.736792453</v>
      </c>
      <c r="I20" s="26">
        <f t="shared" si="8"/>
        <v>6382.04125</v>
      </c>
      <c r="J20" s="23">
        <f t="shared" si="8"/>
        <v>0.4875335563</v>
      </c>
    </row>
    <row r="21" ht="14.25" customHeight="1">
      <c r="A21" s="22">
        <v>3.0</v>
      </c>
      <c r="B21" s="23">
        <f t="shared" si="2"/>
        <v>0.09991508633</v>
      </c>
      <c r="C21" s="23">
        <f t="shared" si="3"/>
        <v>0.1035749265</v>
      </c>
      <c r="D21" s="23">
        <f t="shared" si="4"/>
        <v>0.1175495928</v>
      </c>
      <c r="E21" s="23">
        <f t="shared" si="5"/>
        <v>0.1200007615</v>
      </c>
      <c r="F21" s="24">
        <f t="shared" si="6"/>
        <v>12047.28517</v>
      </c>
      <c r="G21" s="24">
        <f t="shared" si="7"/>
        <v>5892.998111</v>
      </c>
      <c r="H21" s="25">
        <f t="shared" ref="H21:J21" si="9">C6/B6</f>
        <v>1.997167139</v>
      </c>
      <c r="I21" s="26">
        <f t="shared" si="9"/>
        <v>6032.186761</v>
      </c>
      <c r="J21" s="23">
        <f t="shared" si="9"/>
        <v>0.4891556916</v>
      </c>
    </row>
    <row r="22" ht="14.25" customHeight="1">
      <c r="A22" s="22">
        <v>4.0</v>
      </c>
      <c r="B22" s="23">
        <f t="shared" si="2"/>
        <v>0.09994653584</v>
      </c>
      <c r="C22" s="23">
        <f t="shared" si="3"/>
        <v>0.08731635651</v>
      </c>
      <c r="D22" s="23">
        <f t="shared" si="4"/>
        <v>0.08911840044</v>
      </c>
      <c r="E22" s="23">
        <f t="shared" si="5"/>
        <v>0.08919971643</v>
      </c>
      <c r="F22" s="24">
        <f t="shared" si="6"/>
        <v>9130.58842</v>
      </c>
      <c r="G22" s="24">
        <f t="shared" si="7"/>
        <v>4379.04185</v>
      </c>
      <c r="H22" s="25">
        <f t="shared" ref="H22:J22" si="10">C7/B7</f>
        <v>1.683134047</v>
      </c>
      <c r="I22" s="26">
        <f t="shared" si="10"/>
        <v>5424.75416</v>
      </c>
      <c r="J22" s="23">
        <f t="shared" si="10"/>
        <v>0.4796012753</v>
      </c>
    </row>
    <row r="23" ht="14.25" customHeight="1">
      <c r="A23" s="22">
        <v>5.0</v>
      </c>
      <c r="B23" s="23">
        <f t="shared" si="2"/>
        <v>0.1001037834</v>
      </c>
      <c r="C23" s="23">
        <f t="shared" si="3"/>
        <v>0.0764446621</v>
      </c>
      <c r="D23" s="23">
        <f t="shared" si="4"/>
        <v>0.06927266364</v>
      </c>
      <c r="E23" s="23">
        <f t="shared" si="5"/>
        <v>0.06880317218</v>
      </c>
      <c r="F23" s="24">
        <f t="shared" si="6"/>
        <v>7086.153</v>
      </c>
      <c r="G23" s="24">
        <f t="shared" si="7"/>
        <v>3372.417531</v>
      </c>
      <c r="H23" s="25">
        <f t="shared" ref="H23:J23" si="11">C8/B8</f>
        <v>1.471253534</v>
      </c>
      <c r="I23" s="26">
        <f t="shared" si="11"/>
        <v>4816.405082</v>
      </c>
      <c r="J23" s="23">
        <f t="shared" si="11"/>
        <v>0.4759165559</v>
      </c>
    </row>
    <row r="24" ht="14.25" customHeight="1">
      <c r="A24" s="22">
        <v>6.0</v>
      </c>
      <c r="B24" s="23">
        <f t="shared" si="2"/>
        <v>0.09824826241</v>
      </c>
      <c r="C24" s="23">
        <f t="shared" si="3"/>
        <v>0.07068233758</v>
      </c>
      <c r="D24" s="23">
        <f t="shared" si="4"/>
        <v>0.05273317014</v>
      </c>
      <c r="E24" s="23">
        <f t="shared" si="5"/>
        <v>0.05094517948</v>
      </c>
      <c r="F24" s="24">
        <f t="shared" si="6"/>
        <v>5496.144366</v>
      </c>
      <c r="G24" s="24">
        <f t="shared" si="7"/>
        <v>2544.260563</v>
      </c>
      <c r="H24" s="25">
        <f t="shared" ref="H24:J24" si="12">C9/B9</f>
        <v>1.386043534</v>
      </c>
      <c r="I24" s="26">
        <f t="shared" si="12"/>
        <v>3965.347575</v>
      </c>
      <c r="J24" s="23">
        <f t="shared" si="12"/>
        <v>0.462917346</v>
      </c>
    </row>
    <row r="25" ht="14.25" customHeight="1">
      <c r="A25" s="22">
        <v>7.0</v>
      </c>
      <c r="B25" s="23">
        <f t="shared" si="2"/>
        <v>0.1016762588</v>
      </c>
      <c r="C25" s="23">
        <f t="shared" si="3"/>
        <v>0.06536075743</v>
      </c>
      <c r="D25" s="23">
        <f t="shared" si="4"/>
        <v>0.0413718756</v>
      </c>
      <c r="E25" s="23">
        <f t="shared" si="5"/>
        <v>0.03999602349</v>
      </c>
      <c r="F25" s="24">
        <f t="shared" si="6"/>
        <v>4166.628518</v>
      </c>
      <c r="G25" s="24">
        <f t="shared" si="7"/>
        <v>1930.103619</v>
      </c>
      <c r="H25" s="25">
        <f t="shared" ref="H25:J25" si="13">C10/B10</f>
        <v>1.238478194</v>
      </c>
      <c r="I25" s="26">
        <f t="shared" si="13"/>
        <v>3364.313187</v>
      </c>
      <c r="J25" s="23">
        <f t="shared" si="13"/>
        <v>0.4632291097</v>
      </c>
    </row>
    <row r="26" ht="14.25" customHeight="1">
      <c r="A26" s="22">
        <v>8.0</v>
      </c>
      <c r="B26" s="23">
        <f t="shared" si="2"/>
        <v>0.09422272541</v>
      </c>
      <c r="C26" s="23">
        <f t="shared" si="3"/>
        <v>0.05572967679</v>
      </c>
      <c r="D26" s="23">
        <f t="shared" si="4"/>
        <v>0.028811597</v>
      </c>
      <c r="E26" s="23">
        <f t="shared" si="5"/>
        <v>0.02773229192</v>
      </c>
      <c r="F26" s="24">
        <f t="shared" si="6"/>
        <v>3131.199933</v>
      </c>
      <c r="G26" s="24">
        <f t="shared" si="7"/>
        <v>1444.153872</v>
      </c>
      <c r="H26" s="25">
        <f t="shared" ref="H26:J26" si="14">C11/B11</f>
        <v>1.139519359</v>
      </c>
      <c r="I26" s="26">
        <f t="shared" si="14"/>
        <v>2747.825132</v>
      </c>
      <c r="J26" s="23">
        <f t="shared" si="14"/>
        <v>0.4612141999</v>
      </c>
    </row>
    <row r="27" ht="14.25" customHeight="1">
      <c r="A27" s="22">
        <v>9.0</v>
      </c>
      <c r="B27" s="23">
        <f t="shared" si="2"/>
        <v>0.1056703463</v>
      </c>
      <c r="C27" s="23">
        <f t="shared" si="3"/>
        <v>0.05972902383</v>
      </c>
      <c r="D27" s="23">
        <f t="shared" si="4"/>
        <v>0.02302360198</v>
      </c>
      <c r="E27" s="23">
        <f t="shared" si="5"/>
        <v>0.02137022559</v>
      </c>
      <c r="F27" s="24">
        <f t="shared" si="6"/>
        <v>2231.10119</v>
      </c>
      <c r="G27" s="24">
        <f t="shared" si="7"/>
        <v>992.2916667</v>
      </c>
      <c r="H27" s="25">
        <f t="shared" ref="H27:J27" si="15">C12/B12</f>
        <v>1.088988095</v>
      </c>
      <c r="I27" s="26">
        <f t="shared" si="15"/>
        <v>2048.783821</v>
      </c>
      <c r="J27" s="23">
        <f t="shared" si="15"/>
        <v>0.4447542186</v>
      </c>
    </row>
    <row r="28" ht="14.25" customHeight="1">
      <c r="A28" s="27">
        <v>10.0</v>
      </c>
      <c r="B28" s="28">
        <f t="shared" si="2"/>
        <v>0.1001981319</v>
      </c>
      <c r="C28" s="28">
        <f t="shared" si="3"/>
        <v>0.05337904016</v>
      </c>
      <c r="D28" s="28">
        <f t="shared" si="4"/>
        <v>0.01148815239</v>
      </c>
      <c r="E28" s="28">
        <f t="shared" si="5"/>
        <v>0.009965603878</v>
      </c>
      <c r="F28" s="29">
        <f t="shared" si="6"/>
        <v>1174.05838</v>
      </c>
      <c r="G28" s="29">
        <f t="shared" si="7"/>
        <v>488.0084746</v>
      </c>
      <c r="H28" s="30">
        <f t="shared" ref="H28:J28" si="16">C13/B13</f>
        <v>1.026365348</v>
      </c>
      <c r="I28" s="31">
        <f t="shared" si="16"/>
        <v>1143.899083</v>
      </c>
      <c r="J28" s="28">
        <f t="shared" si="16"/>
        <v>0.4156594618</v>
      </c>
    </row>
    <row r="29" ht="14.25" customHeight="1">
      <c r="A29" s="32"/>
      <c r="B29" s="32"/>
      <c r="C29" s="32"/>
      <c r="D29" s="32"/>
      <c r="E29" s="32"/>
      <c r="F29" s="33">
        <f t="shared" si="6"/>
        <v>10239.9805</v>
      </c>
      <c r="G29" s="33">
        <f t="shared" si="7"/>
        <v>4906.630657</v>
      </c>
      <c r="H29" s="34">
        <f t="shared" ref="H29:J29" si="17">C14/B14</f>
        <v>1.926596849</v>
      </c>
      <c r="I29" s="35">
        <f t="shared" si="17"/>
        <v>5315.061378</v>
      </c>
      <c r="J29" s="36">
        <f t="shared" si="17"/>
        <v>0.4791640625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13.13"/>
    <col customWidth="1" min="6" max="6" width="7.75"/>
    <col customWidth="1" min="7" max="7" width="13.88"/>
    <col customWidth="1" min="8" max="9" width="6.5"/>
    <col customWidth="1" min="10" max="10" width="14.75"/>
    <col customWidth="1" min="11" max="26" width="7.75"/>
  </cols>
  <sheetData>
    <row r="1" ht="14.25" customHeight="1">
      <c r="A1" s="1" t="s">
        <v>15</v>
      </c>
    </row>
    <row r="2" ht="14.25" customHeight="1">
      <c r="A2" s="37"/>
    </row>
    <row r="3" ht="14.25" customHeight="1">
      <c r="A3" s="38" t="s">
        <v>16</v>
      </c>
      <c r="B3" s="38" t="s">
        <v>2</v>
      </c>
      <c r="C3" s="38" t="s">
        <v>3</v>
      </c>
      <c r="D3" s="38" t="s">
        <v>4</v>
      </c>
      <c r="E3" s="38" t="s">
        <v>5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4.25" customHeight="1">
      <c r="A4" s="40" t="s">
        <v>17</v>
      </c>
      <c r="B4" s="7">
        <v>2943.0</v>
      </c>
      <c r="C4" s="7">
        <v>3683.0</v>
      </c>
      <c r="D4" s="7">
        <v>2.180398E7</v>
      </c>
      <c r="E4" s="7">
        <v>1.0398135E7</v>
      </c>
    </row>
    <row r="5" ht="14.25" customHeight="1">
      <c r="A5" s="41" t="s">
        <v>18</v>
      </c>
      <c r="B5" s="12">
        <v>346.0</v>
      </c>
      <c r="C5" s="12">
        <v>513.0</v>
      </c>
      <c r="D5" s="12">
        <v>2765015.0</v>
      </c>
      <c r="E5" s="12">
        <v>1386330.0</v>
      </c>
    </row>
    <row r="6" ht="14.25" customHeight="1">
      <c r="A6" s="41" t="s">
        <v>19</v>
      </c>
      <c r="B6" s="12">
        <v>313.0</v>
      </c>
      <c r="C6" s="12">
        <v>451.0</v>
      </c>
      <c r="D6" s="12">
        <v>2352130.0</v>
      </c>
      <c r="E6" s="12">
        <v>1173700.0</v>
      </c>
    </row>
    <row r="7" ht="14.25" customHeight="1">
      <c r="A7" s="41" t="s">
        <v>20</v>
      </c>
      <c r="B7" s="12">
        <v>485.0</v>
      </c>
      <c r="C7" s="12">
        <v>819.0</v>
      </c>
      <c r="D7" s="12">
        <v>4692930.0</v>
      </c>
      <c r="E7" s="12">
        <v>2335300.0</v>
      </c>
    </row>
    <row r="8" ht="14.25" customHeight="1">
      <c r="A8" s="41" t="s">
        <v>21</v>
      </c>
      <c r="B8" s="12">
        <v>296.0</v>
      </c>
      <c r="C8" s="12">
        <v>435.0</v>
      </c>
      <c r="D8" s="12">
        <v>2411530.0</v>
      </c>
      <c r="E8" s="12">
        <v>1161600.0</v>
      </c>
    </row>
    <row r="9" ht="14.25" customHeight="1">
      <c r="A9" s="41" t="s">
        <v>22</v>
      </c>
      <c r="B9" s="12">
        <v>286.0</v>
      </c>
      <c r="C9" s="12">
        <v>453.0</v>
      </c>
      <c r="D9" s="12">
        <v>2186470.0</v>
      </c>
      <c r="E9" s="12">
        <v>1074425.0</v>
      </c>
    </row>
    <row r="10" ht="14.25" customHeight="1">
      <c r="A10" s="41" t="s">
        <v>23</v>
      </c>
      <c r="B10" s="12">
        <v>245.0</v>
      </c>
      <c r="C10" s="12">
        <v>396.0</v>
      </c>
      <c r="D10" s="12">
        <v>2040280.0</v>
      </c>
      <c r="E10" s="12">
        <v>988295.0</v>
      </c>
    </row>
    <row r="11" ht="14.25" customHeight="1">
      <c r="A11" s="41" t="s">
        <v>24</v>
      </c>
      <c r="B11" s="12">
        <v>420.0</v>
      </c>
      <c r="C11" s="12">
        <v>808.0</v>
      </c>
      <c r="D11" s="12">
        <v>4619175.0</v>
      </c>
      <c r="E11" s="12">
        <v>2215950.0</v>
      </c>
    </row>
    <row r="12" ht="14.25" customHeight="1">
      <c r="A12" s="41" t="s">
        <v>25</v>
      </c>
      <c r="B12" s="12">
        <v>312.0</v>
      </c>
      <c r="C12" s="12">
        <v>481.0</v>
      </c>
      <c r="D12" s="12">
        <v>2391565.0</v>
      </c>
      <c r="E12" s="12">
        <v>1101815.0</v>
      </c>
    </row>
    <row r="13" ht="14.25" customHeight="1">
      <c r="A13" s="41" t="s">
        <v>26</v>
      </c>
      <c r="B13" s="12">
        <v>281.0</v>
      </c>
      <c r="C13" s="12">
        <v>462.0</v>
      </c>
      <c r="D13" s="12">
        <v>2061895.0</v>
      </c>
      <c r="E13" s="12">
        <v>960080.0</v>
      </c>
    </row>
    <row r="14" ht="14.25" customHeight="1">
      <c r="A14" s="41" t="s">
        <v>27</v>
      </c>
      <c r="B14" s="12">
        <v>220.0</v>
      </c>
      <c r="C14" s="12">
        <v>384.0</v>
      </c>
      <c r="D14" s="12">
        <v>1826220.0</v>
      </c>
      <c r="E14" s="12">
        <v>838310.0</v>
      </c>
    </row>
    <row r="15" ht="14.25" customHeight="1">
      <c r="A15" s="41" t="s">
        <v>28</v>
      </c>
      <c r="B15" s="12">
        <v>358.0</v>
      </c>
      <c r="C15" s="12">
        <v>722.0</v>
      </c>
      <c r="D15" s="12">
        <v>3652880.0</v>
      </c>
      <c r="E15" s="12">
        <v>1726835.0</v>
      </c>
    </row>
    <row r="16" ht="14.25" customHeight="1">
      <c r="A16" s="41" t="s">
        <v>29</v>
      </c>
      <c r="B16" s="12">
        <v>244.0</v>
      </c>
      <c r="C16" s="12">
        <v>397.0</v>
      </c>
      <c r="D16" s="12">
        <v>1945185.0</v>
      </c>
      <c r="E16" s="12">
        <v>908215.0</v>
      </c>
    </row>
    <row r="17" ht="14.25" customHeight="1">
      <c r="A17" s="41" t="s">
        <v>30</v>
      </c>
      <c r="B17" s="12">
        <v>236.0</v>
      </c>
      <c r="C17" s="12">
        <v>390.0</v>
      </c>
      <c r="D17" s="12">
        <v>1882925.0</v>
      </c>
      <c r="E17" s="12">
        <v>884840.0</v>
      </c>
    </row>
    <row r="18" ht="14.25" customHeight="1">
      <c r="A18" s="41" t="s">
        <v>31</v>
      </c>
      <c r="B18" s="12">
        <v>201.0</v>
      </c>
      <c r="C18" s="12">
        <v>338.0</v>
      </c>
      <c r="D18" s="12">
        <v>1504580.0</v>
      </c>
      <c r="E18" s="12">
        <v>703560.0</v>
      </c>
    </row>
    <row r="19" ht="14.25" customHeight="1">
      <c r="A19" s="42" t="s">
        <v>32</v>
      </c>
      <c r="B19" s="14">
        <v>353.0</v>
      </c>
      <c r="C19" s="14">
        <v>657.0</v>
      </c>
      <c r="D19" s="14">
        <v>3447070.0</v>
      </c>
      <c r="E19" s="14">
        <v>1627065.0</v>
      </c>
    </row>
    <row r="20" ht="14.25" customHeight="1">
      <c r="A20" s="37"/>
    </row>
    <row r="21" ht="14.25" customHeight="1">
      <c r="A21" s="37"/>
    </row>
    <row r="22" ht="14.25" customHeight="1">
      <c r="A22" s="37"/>
    </row>
    <row r="23" ht="14.25" customHeight="1">
      <c r="A23" s="43" t="s">
        <v>16</v>
      </c>
      <c r="B23" s="43" t="s">
        <v>2</v>
      </c>
      <c r="C23" s="43" t="s">
        <v>3</v>
      </c>
      <c r="D23" s="43" t="s">
        <v>4</v>
      </c>
      <c r="E23" s="43" t="s">
        <v>5</v>
      </c>
      <c r="F23" s="43" t="s">
        <v>33</v>
      </c>
      <c r="G23" s="43" t="s">
        <v>34</v>
      </c>
      <c r="H23" s="43" t="s">
        <v>12</v>
      </c>
      <c r="I23" s="43" t="s">
        <v>13</v>
      </c>
      <c r="J23" s="39"/>
    </row>
    <row r="24" ht="14.25" customHeight="1">
      <c r="A24" s="44" t="str">
        <f t="shared" ref="A24:E24" si="1">A4</f>
        <v>2021Q1</v>
      </c>
      <c r="B24" s="45">
        <f t="shared" si="1"/>
        <v>2943</v>
      </c>
      <c r="C24" s="46">
        <f t="shared" si="1"/>
        <v>3683</v>
      </c>
      <c r="D24" s="46">
        <f t="shared" si="1"/>
        <v>21803980</v>
      </c>
      <c r="E24" s="46">
        <f t="shared" si="1"/>
        <v>10398135</v>
      </c>
      <c r="F24" s="47">
        <f t="shared" ref="F24:F39" si="4">B4/$B$4</f>
        <v>1</v>
      </c>
      <c r="G24" s="48">
        <f t="shared" ref="G24:G39" si="5">D4/B4</f>
        <v>7408.759769</v>
      </c>
      <c r="H24" s="49">
        <f t="shared" ref="H24:I24" si="2">C4/B4</f>
        <v>1.251444105</v>
      </c>
      <c r="I24" s="48">
        <f t="shared" si="2"/>
        <v>5920.168341</v>
      </c>
    </row>
    <row r="25" ht="14.25" customHeight="1">
      <c r="A25" s="44" t="str">
        <f t="shared" ref="A25:E25" si="3">A5</f>
        <v>2021Q2</v>
      </c>
      <c r="B25" s="45">
        <f t="shared" si="3"/>
        <v>346</v>
      </c>
      <c r="C25" s="46">
        <f t="shared" si="3"/>
        <v>513</v>
      </c>
      <c r="D25" s="46">
        <f t="shared" si="3"/>
        <v>2765015</v>
      </c>
      <c r="E25" s="46">
        <f t="shared" si="3"/>
        <v>1386330</v>
      </c>
      <c r="F25" s="47">
        <f t="shared" si="4"/>
        <v>0.1175671084</v>
      </c>
      <c r="G25" s="48">
        <f t="shared" si="5"/>
        <v>7991.372832</v>
      </c>
      <c r="H25" s="49">
        <f t="shared" ref="H25:I25" si="6">C5/B5</f>
        <v>1.48265896</v>
      </c>
      <c r="I25" s="48">
        <f t="shared" si="6"/>
        <v>5389.892788</v>
      </c>
    </row>
    <row r="26" ht="14.25" customHeight="1">
      <c r="A26" s="44" t="str">
        <f t="shared" ref="A26:E26" si="7">A6</f>
        <v>2021Q3</v>
      </c>
      <c r="B26" s="45">
        <f t="shared" si="7"/>
        <v>313</v>
      </c>
      <c r="C26" s="46">
        <f t="shared" si="7"/>
        <v>451</v>
      </c>
      <c r="D26" s="46">
        <f t="shared" si="7"/>
        <v>2352130</v>
      </c>
      <c r="E26" s="46">
        <f t="shared" si="7"/>
        <v>1173700</v>
      </c>
      <c r="F26" s="47">
        <f t="shared" si="4"/>
        <v>0.1063540605</v>
      </c>
      <c r="G26" s="48">
        <f t="shared" si="5"/>
        <v>7514.792332</v>
      </c>
      <c r="H26" s="49">
        <f t="shared" ref="H26:I26" si="8">C6/B6</f>
        <v>1.440894569</v>
      </c>
      <c r="I26" s="48">
        <f t="shared" si="8"/>
        <v>5215.365854</v>
      </c>
    </row>
    <row r="27" ht="14.25" customHeight="1">
      <c r="A27" s="44" t="str">
        <f t="shared" ref="A27:E27" si="9">A7</f>
        <v>2021Q4</v>
      </c>
      <c r="B27" s="45">
        <f t="shared" si="9"/>
        <v>485</v>
      </c>
      <c r="C27" s="46">
        <f t="shared" si="9"/>
        <v>819</v>
      </c>
      <c r="D27" s="46">
        <f t="shared" si="9"/>
        <v>4692930</v>
      </c>
      <c r="E27" s="46">
        <f t="shared" si="9"/>
        <v>2335300</v>
      </c>
      <c r="F27" s="47">
        <f t="shared" si="4"/>
        <v>0.1647978253</v>
      </c>
      <c r="G27" s="48">
        <f t="shared" si="5"/>
        <v>9676.14433</v>
      </c>
      <c r="H27" s="49">
        <f t="shared" ref="H27:I27" si="10">C7/B7</f>
        <v>1.688659794</v>
      </c>
      <c r="I27" s="48">
        <f t="shared" si="10"/>
        <v>5730.07326</v>
      </c>
    </row>
    <row r="28" ht="14.25" customHeight="1">
      <c r="A28" s="44" t="str">
        <f t="shared" ref="A28:E28" si="11">A8</f>
        <v>2022Q1</v>
      </c>
      <c r="B28" s="45">
        <f t="shared" si="11"/>
        <v>296</v>
      </c>
      <c r="C28" s="46">
        <f t="shared" si="11"/>
        <v>435</v>
      </c>
      <c r="D28" s="46">
        <f t="shared" si="11"/>
        <v>2411530</v>
      </c>
      <c r="E28" s="46">
        <f t="shared" si="11"/>
        <v>1161600</v>
      </c>
      <c r="F28" s="47">
        <f t="shared" si="4"/>
        <v>0.1005776419</v>
      </c>
      <c r="G28" s="48">
        <f t="shared" si="5"/>
        <v>8147.060811</v>
      </c>
      <c r="H28" s="49">
        <f t="shared" ref="H28:I28" si="12">C8/B8</f>
        <v>1.469594595</v>
      </c>
      <c r="I28" s="48">
        <f t="shared" si="12"/>
        <v>5543.747126</v>
      </c>
    </row>
    <row r="29" ht="14.25" customHeight="1">
      <c r="A29" s="44" t="str">
        <f t="shared" ref="A29:E29" si="13">A9</f>
        <v>2022Q2</v>
      </c>
      <c r="B29" s="45">
        <f t="shared" si="13"/>
        <v>286</v>
      </c>
      <c r="C29" s="46">
        <f t="shared" si="13"/>
        <v>453</v>
      </c>
      <c r="D29" s="46">
        <f t="shared" si="13"/>
        <v>2186470</v>
      </c>
      <c r="E29" s="46">
        <f t="shared" si="13"/>
        <v>1074425</v>
      </c>
      <c r="F29" s="47">
        <f t="shared" si="4"/>
        <v>0.09717974856</v>
      </c>
      <c r="G29" s="48">
        <f t="shared" si="5"/>
        <v>7645</v>
      </c>
      <c r="H29" s="49">
        <f t="shared" ref="H29:I29" si="14">C9/B9</f>
        <v>1.583916084</v>
      </c>
      <c r="I29" s="48">
        <f t="shared" si="14"/>
        <v>4826.644592</v>
      </c>
    </row>
    <row r="30" ht="14.25" customHeight="1">
      <c r="A30" s="44" t="str">
        <f t="shared" ref="A30:E30" si="15">A10</f>
        <v>2022Q3</v>
      </c>
      <c r="B30" s="45">
        <f t="shared" si="15"/>
        <v>245</v>
      </c>
      <c r="C30" s="46">
        <f t="shared" si="15"/>
        <v>396</v>
      </c>
      <c r="D30" s="46">
        <f t="shared" si="15"/>
        <v>2040280</v>
      </c>
      <c r="E30" s="46">
        <f t="shared" si="15"/>
        <v>988295</v>
      </c>
      <c r="F30" s="47">
        <f t="shared" si="4"/>
        <v>0.083248386</v>
      </c>
      <c r="G30" s="48">
        <f t="shared" si="5"/>
        <v>8327.673469</v>
      </c>
      <c r="H30" s="49">
        <f t="shared" ref="H30:I30" si="16">C10/B10</f>
        <v>1.616326531</v>
      </c>
      <c r="I30" s="48">
        <f t="shared" si="16"/>
        <v>5152.222222</v>
      </c>
    </row>
    <row r="31" ht="14.25" customHeight="1">
      <c r="A31" s="44" t="str">
        <f t="shared" ref="A31:E31" si="17">A11</f>
        <v>2022Q4</v>
      </c>
      <c r="B31" s="45">
        <f t="shared" si="17"/>
        <v>420</v>
      </c>
      <c r="C31" s="46">
        <f t="shared" si="17"/>
        <v>808</v>
      </c>
      <c r="D31" s="46">
        <f t="shared" si="17"/>
        <v>4619175</v>
      </c>
      <c r="E31" s="46">
        <f t="shared" si="17"/>
        <v>2215950</v>
      </c>
      <c r="F31" s="47">
        <f t="shared" si="4"/>
        <v>0.1427115189</v>
      </c>
      <c r="G31" s="48">
        <f t="shared" si="5"/>
        <v>10998.03571</v>
      </c>
      <c r="H31" s="49">
        <f t="shared" ref="H31:I31" si="18">C11/B11</f>
        <v>1.923809524</v>
      </c>
      <c r="I31" s="48">
        <f t="shared" si="18"/>
        <v>5716.800743</v>
      </c>
    </row>
    <row r="32" ht="14.25" customHeight="1">
      <c r="A32" s="44" t="str">
        <f t="shared" ref="A32:E32" si="19">A12</f>
        <v>2023Q1</v>
      </c>
      <c r="B32" s="45">
        <f t="shared" si="19"/>
        <v>312</v>
      </c>
      <c r="C32" s="46">
        <f t="shared" si="19"/>
        <v>481</v>
      </c>
      <c r="D32" s="46">
        <f t="shared" si="19"/>
        <v>2391565</v>
      </c>
      <c r="E32" s="46">
        <f t="shared" si="19"/>
        <v>1101815</v>
      </c>
      <c r="F32" s="47">
        <f t="shared" si="4"/>
        <v>0.1060142712</v>
      </c>
      <c r="G32" s="48">
        <f t="shared" si="5"/>
        <v>7665.272436</v>
      </c>
      <c r="H32" s="49">
        <f t="shared" ref="H32:I32" si="20">C12/B12</f>
        <v>1.541666667</v>
      </c>
      <c r="I32" s="48">
        <f t="shared" si="20"/>
        <v>4972.068607</v>
      </c>
    </row>
    <row r="33" ht="14.25" customHeight="1">
      <c r="A33" s="44" t="str">
        <f t="shared" ref="A33:E33" si="21">A13</f>
        <v>2023Q2</v>
      </c>
      <c r="B33" s="45">
        <f t="shared" si="21"/>
        <v>281</v>
      </c>
      <c r="C33" s="46">
        <f t="shared" si="21"/>
        <v>462</v>
      </c>
      <c r="D33" s="46">
        <f t="shared" si="21"/>
        <v>2061895</v>
      </c>
      <c r="E33" s="46">
        <f t="shared" si="21"/>
        <v>960080</v>
      </c>
      <c r="F33" s="47">
        <f t="shared" si="4"/>
        <v>0.0954808019</v>
      </c>
      <c r="G33" s="48">
        <f t="shared" si="5"/>
        <v>7337.704626</v>
      </c>
      <c r="H33" s="49">
        <f t="shared" ref="H33:I33" si="22">C13/B13</f>
        <v>1.644128114</v>
      </c>
      <c r="I33" s="48">
        <f t="shared" si="22"/>
        <v>4462.97619</v>
      </c>
    </row>
    <row r="34" ht="14.25" customHeight="1">
      <c r="A34" s="44" t="str">
        <f t="shared" ref="A34:E34" si="23">A14</f>
        <v>2023Q3</v>
      </c>
      <c r="B34" s="45">
        <f t="shared" si="23"/>
        <v>220</v>
      </c>
      <c r="C34" s="46">
        <f t="shared" si="23"/>
        <v>384</v>
      </c>
      <c r="D34" s="46">
        <f t="shared" si="23"/>
        <v>1826220</v>
      </c>
      <c r="E34" s="46">
        <f t="shared" si="23"/>
        <v>838310</v>
      </c>
      <c r="F34" s="47">
        <f t="shared" si="4"/>
        <v>0.07475365274</v>
      </c>
      <c r="G34" s="48">
        <f t="shared" si="5"/>
        <v>8301</v>
      </c>
      <c r="H34" s="49">
        <f t="shared" ref="H34:I34" si="24">C14/B14</f>
        <v>1.745454545</v>
      </c>
      <c r="I34" s="48">
        <f t="shared" si="24"/>
        <v>4755.78125</v>
      </c>
    </row>
    <row r="35" ht="14.25" customHeight="1">
      <c r="A35" s="44" t="str">
        <f t="shared" ref="A35:E35" si="25">A15</f>
        <v>2023Q4</v>
      </c>
      <c r="B35" s="45">
        <f t="shared" si="25"/>
        <v>358</v>
      </c>
      <c r="C35" s="46">
        <f t="shared" si="25"/>
        <v>722</v>
      </c>
      <c r="D35" s="46">
        <f t="shared" si="25"/>
        <v>3652880</v>
      </c>
      <c r="E35" s="46">
        <f t="shared" si="25"/>
        <v>1726835</v>
      </c>
      <c r="F35" s="47">
        <f t="shared" si="4"/>
        <v>0.1216445804</v>
      </c>
      <c r="G35" s="48">
        <f t="shared" si="5"/>
        <v>10203.57542</v>
      </c>
      <c r="H35" s="49">
        <f t="shared" ref="H35:I35" si="26">C15/B15</f>
        <v>2.016759777</v>
      </c>
      <c r="I35" s="48">
        <f t="shared" si="26"/>
        <v>5059.390582</v>
      </c>
    </row>
    <row r="36" ht="14.25" customHeight="1">
      <c r="A36" s="44" t="str">
        <f t="shared" ref="A36:E36" si="27">A16</f>
        <v>2024Q1</v>
      </c>
      <c r="B36" s="45">
        <f t="shared" si="27"/>
        <v>244</v>
      </c>
      <c r="C36" s="46">
        <f t="shared" si="27"/>
        <v>397</v>
      </c>
      <c r="D36" s="46">
        <f t="shared" si="27"/>
        <v>1945185</v>
      </c>
      <c r="E36" s="46">
        <f t="shared" si="27"/>
        <v>908215</v>
      </c>
      <c r="F36" s="47">
        <f t="shared" si="4"/>
        <v>0.08290859667</v>
      </c>
      <c r="G36" s="48">
        <f t="shared" si="5"/>
        <v>7972.069672</v>
      </c>
      <c r="H36" s="49">
        <f t="shared" ref="H36:I36" si="28">C16/B16</f>
        <v>1.62704918</v>
      </c>
      <c r="I36" s="48">
        <f t="shared" si="28"/>
        <v>4899.710327</v>
      </c>
    </row>
    <row r="37" ht="14.25" customHeight="1">
      <c r="A37" s="44" t="str">
        <f t="shared" ref="A37:E37" si="29">A17</f>
        <v>2024Q2</v>
      </c>
      <c r="B37" s="45">
        <f t="shared" si="29"/>
        <v>236</v>
      </c>
      <c r="C37" s="46">
        <f t="shared" si="29"/>
        <v>390</v>
      </c>
      <c r="D37" s="46">
        <f t="shared" si="29"/>
        <v>1882925</v>
      </c>
      <c r="E37" s="46">
        <f t="shared" si="29"/>
        <v>884840</v>
      </c>
      <c r="F37" s="47">
        <f t="shared" si="4"/>
        <v>0.08019028203</v>
      </c>
      <c r="G37" s="48">
        <f t="shared" si="5"/>
        <v>7978.495763</v>
      </c>
      <c r="H37" s="49">
        <f t="shared" ref="H37:I37" si="30">C17/B17</f>
        <v>1.652542373</v>
      </c>
      <c r="I37" s="48">
        <f t="shared" si="30"/>
        <v>4828.012821</v>
      </c>
    </row>
    <row r="38" ht="14.25" customHeight="1">
      <c r="A38" s="44" t="str">
        <f t="shared" ref="A38:E38" si="31">A18</f>
        <v>2024Q3</v>
      </c>
      <c r="B38" s="45">
        <f t="shared" si="31"/>
        <v>201</v>
      </c>
      <c r="C38" s="46">
        <f t="shared" si="31"/>
        <v>338</v>
      </c>
      <c r="D38" s="46">
        <f t="shared" si="31"/>
        <v>1504580</v>
      </c>
      <c r="E38" s="46">
        <f t="shared" si="31"/>
        <v>703560</v>
      </c>
      <c r="F38" s="47">
        <f t="shared" si="4"/>
        <v>0.06829765545</v>
      </c>
      <c r="G38" s="48">
        <f t="shared" si="5"/>
        <v>7485.472637</v>
      </c>
      <c r="H38" s="49">
        <f t="shared" ref="H38:I38" si="32">C18/B18</f>
        <v>1.68159204</v>
      </c>
      <c r="I38" s="48">
        <f t="shared" si="32"/>
        <v>4451.420118</v>
      </c>
    </row>
    <row r="39" ht="14.25" customHeight="1">
      <c r="A39" s="44" t="str">
        <f t="shared" ref="A39:E39" si="33">A19</f>
        <v>2024Q4</v>
      </c>
      <c r="B39" s="45">
        <f t="shared" si="33"/>
        <v>353</v>
      </c>
      <c r="C39" s="46">
        <f t="shared" si="33"/>
        <v>657</v>
      </c>
      <c r="D39" s="46">
        <f t="shared" si="33"/>
        <v>3447070</v>
      </c>
      <c r="E39" s="46">
        <f t="shared" si="33"/>
        <v>1627065</v>
      </c>
      <c r="F39" s="47">
        <f t="shared" si="4"/>
        <v>0.1199456337</v>
      </c>
      <c r="G39" s="48">
        <f t="shared" si="5"/>
        <v>9765.070822</v>
      </c>
      <c r="H39" s="49">
        <f t="shared" ref="H39:I39" si="34">C19/B19</f>
        <v>1.861189802</v>
      </c>
      <c r="I39" s="48">
        <f t="shared" si="34"/>
        <v>5246.681887</v>
      </c>
    </row>
    <row r="40" ht="14.25" customHeight="1">
      <c r="A40" s="37"/>
    </row>
    <row r="41" ht="14.25" customHeight="1">
      <c r="A41" s="50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37"/>
    </row>
    <row r="43" ht="14.25" customHeight="1">
      <c r="A43" s="37"/>
    </row>
    <row r="44" ht="14.25" customHeight="1">
      <c r="A44" s="37"/>
    </row>
    <row r="45" ht="14.25" customHeight="1">
      <c r="A45" s="37"/>
    </row>
    <row r="46" ht="14.25" customHeight="1">
      <c r="A46" s="37"/>
    </row>
    <row r="47" ht="14.25" customHeight="1">
      <c r="A47" s="37"/>
    </row>
    <row r="48" ht="14.25" customHeight="1">
      <c r="A48" s="37"/>
    </row>
    <row r="49" ht="14.25" customHeight="1">
      <c r="A49" s="37"/>
    </row>
    <row r="50" ht="14.25" customHeight="1">
      <c r="A50" s="37"/>
    </row>
    <row r="51" ht="14.25" customHeight="1">
      <c r="A51" s="37"/>
    </row>
    <row r="52" ht="14.25" customHeight="1">
      <c r="A52" s="37"/>
    </row>
    <row r="53" ht="14.25" customHeight="1">
      <c r="A53" s="37"/>
    </row>
    <row r="54" ht="14.25" customHeight="1">
      <c r="A54" s="37"/>
    </row>
    <row r="55" ht="14.25" customHeight="1">
      <c r="A55" s="37"/>
    </row>
    <row r="56" ht="14.25" customHeight="1">
      <c r="A56" s="37"/>
    </row>
    <row r="57" ht="14.25" customHeight="1">
      <c r="A57" s="37"/>
    </row>
    <row r="58" ht="14.25" customHeight="1">
      <c r="A58" s="37"/>
    </row>
    <row r="59" ht="14.25" customHeight="1">
      <c r="A59" s="37"/>
    </row>
    <row r="60" ht="14.25" customHeight="1">
      <c r="A60" s="37"/>
    </row>
    <row r="61" ht="14.25" customHeight="1">
      <c r="A61" s="37"/>
    </row>
    <row r="62" ht="14.25" customHeight="1">
      <c r="A62" s="37"/>
    </row>
    <row r="63" ht="14.25" customHeight="1">
      <c r="A63" s="37"/>
    </row>
    <row r="64" ht="14.25" customHeight="1">
      <c r="A64" s="37"/>
    </row>
    <row r="65" ht="14.25" customHeight="1">
      <c r="A65" s="37"/>
    </row>
    <row r="66" ht="14.25" customHeight="1">
      <c r="A66" s="37"/>
    </row>
    <row r="67" ht="14.25" customHeight="1">
      <c r="A67" s="37"/>
    </row>
    <row r="68" ht="14.25" customHeight="1">
      <c r="A68" s="37"/>
    </row>
    <row r="69" ht="14.25" customHeight="1">
      <c r="A69" s="37"/>
    </row>
    <row r="70" ht="14.25" customHeight="1">
      <c r="A70" s="37"/>
    </row>
    <row r="71" ht="14.25" customHeight="1">
      <c r="A71" s="37"/>
    </row>
    <row r="72" ht="14.25" customHeight="1">
      <c r="A72" s="37"/>
    </row>
    <row r="73" ht="14.25" customHeight="1">
      <c r="A73" s="37"/>
    </row>
    <row r="74" ht="14.25" customHeight="1">
      <c r="A74" s="37"/>
    </row>
    <row r="75" ht="14.25" customHeight="1">
      <c r="A75" s="37"/>
    </row>
    <row r="76" ht="14.25" customHeight="1">
      <c r="A76" s="37"/>
    </row>
    <row r="77" ht="14.25" customHeight="1">
      <c r="A77" s="37"/>
    </row>
    <row r="78" ht="14.25" customHeight="1">
      <c r="A78" s="37"/>
    </row>
    <row r="79" ht="14.25" customHeight="1">
      <c r="A79" s="37"/>
    </row>
    <row r="80" ht="14.25" customHeight="1">
      <c r="A80" s="37"/>
    </row>
    <row r="81" ht="14.25" customHeight="1">
      <c r="A81" s="37"/>
    </row>
    <row r="82" ht="14.25" customHeight="1">
      <c r="A82" s="37"/>
    </row>
    <row r="83" ht="14.25" customHeight="1">
      <c r="A83" s="37"/>
    </row>
    <row r="84" ht="14.25" customHeight="1">
      <c r="A84" s="37"/>
    </row>
    <row r="85" ht="14.25" customHeight="1">
      <c r="A85" s="37"/>
    </row>
    <row r="86" ht="14.25" customHeight="1">
      <c r="A86" s="37"/>
    </row>
    <row r="87" ht="14.25" customHeight="1">
      <c r="A87" s="37"/>
    </row>
    <row r="88" ht="14.25" customHeight="1">
      <c r="A88" s="37"/>
    </row>
    <row r="89" ht="14.25" customHeight="1">
      <c r="A89" s="37"/>
    </row>
    <row r="90" ht="14.25" customHeight="1">
      <c r="A90" s="37"/>
    </row>
    <row r="91" ht="14.25" customHeight="1">
      <c r="A91" s="37"/>
    </row>
    <row r="92" ht="14.25" customHeight="1">
      <c r="A92" s="37"/>
    </row>
    <row r="93" ht="14.25" customHeight="1">
      <c r="A93" s="37"/>
    </row>
    <row r="94" ht="14.25" customHeight="1">
      <c r="A94" s="37"/>
    </row>
    <row r="95" ht="14.25" customHeight="1">
      <c r="A95" s="37"/>
    </row>
    <row r="96" ht="14.25" customHeight="1">
      <c r="A96" s="37"/>
    </row>
    <row r="97" ht="14.25" customHeight="1">
      <c r="A97" s="37"/>
    </row>
    <row r="98" ht="14.25" customHeight="1">
      <c r="A98" s="37"/>
    </row>
    <row r="99" ht="14.25" customHeight="1">
      <c r="A99" s="37"/>
    </row>
    <row r="100" ht="14.25" customHeight="1">
      <c r="A100" s="37"/>
    </row>
    <row r="101" ht="14.25" customHeight="1">
      <c r="A101" s="37"/>
    </row>
    <row r="102" ht="14.25" customHeight="1">
      <c r="A102" s="37"/>
    </row>
    <row r="103" ht="14.25" customHeight="1">
      <c r="A103" s="37"/>
    </row>
    <row r="104" ht="14.25" customHeight="1">
      <c r="A104" s="37"/>
    </row>
    <row r="105" ht="14.25" customHeight="1">
      <c r="A105" s="37"/>
    </row>
    <row r="106" ht="14.25" customHeight="1">
      <c r="A106" s="37"/>
    </row>
    <row r="107" ht="14.25" customHeight="1">
      <c r="A107" s="37"/>
    </row>
    <row r="108" ht="14.25" customHeight="1">
      <c r="A108" s="37"/>
    </row>
    <row r="109" ht="14.25" customHeight="1">
      <c r="A109" s="37"/>
    </row>
    <row r="110" ht="14.25" customHeight="1">
      <c r="A110" s="37"/>
    </row>
    <row r="111" ht="14.25" customHeight="1">
      <c r="A111" s="37"/>
    </row>
    <row r="112" ht="14.25" customHeight="1">
      <c r="A112" s="37"/>
    </row>
    <row r="113" ht="14.25" customHeight="1">
      <c r="A113" s="37"/>
    </row>
    <row r="114" ht="14.25" customHeight="1">
      <c r="A114" s="37"/>
    </row>
    <row r="115" ht="14.25" customHeight="1">
      <c r="A115" s="37"/>
    </row>
    <row r="116" ht="14.25" customHeight="1">
      <c r="A116" s="37"/>
    </row>
    <row r="117" ht="14.25" customHeight="1">
      <c r="A117" s="37"/>
    </row>
    <row r="118" ht="14.25" customHeight="1">
      <c r="A118" s="37"/>
    </row>
    <row r="119" ht="14.25" customHeight="1">
      <c r="A119" s="37"/>
    </row>
    <row r="120" ht="14.25" customHeight="1">
      <c r="A120" s="37"/>
    </row>
    <row r="121" ht="14.25" customHeight="1">
      <c r="A121" s="37"/>
    </row>
    <row r="122" ht="14.25" customHeight="1">
      <c r="A122" s="37"/>
    </row>
    <row r="123" ht="14.25" customHeight="1">
      <c r="A123" s="37"/>
    </row>
    <row r="124" ht="14.25" customHeight="1">
      <c r="A124" s="37"/>
    </row>
    <row r="125" ht="14.25" customHeight="1">
      <c r="A125" s="37"/>
    </row>
    <row r="126" ht="14.25" customHeight="1">
      <c r="A126" s="37"/>
    </row>
    <row r="127" ht="14.25" customHeight="1">
      <c r="A127" s="37"/>
    </row>
    <row r="128" ht="14.25" customHeight="1">
      <c r="A128" s="37"/>
    </row>
    <row r="129" ht="14.25" customHeight="1">
      <c r="A129" s="37"/>
    </row>
    <row r="130" ht="14.25" customHeight="1">
      <c r="A130" s="37"/>
    </row>
    <row r="131" ht="14.25" customHeight="1">
      <c r="A131" s="37"/>
    </row>
    <row r="132" ht="14.25" customHeight="1">
      <c r="A132" s="37"/>
    </row>
    <row r="133" ht="14.25" customHeight="1">
      <c r="A133" s="37"/>
    </row>
    <row r="134" ht="14.25" customHeight="1">
      <c r="A134" s="37"/>
    </row>
    <row r="135" ht="14.25" customHeight="1">
      <c r="A135" s="37"/>
    </row>
    <row r="136" ht="14.25" customHeight="1">
      <c r="A136" s="37"/>
    </row>
    <row r="137" ht="14.25" customHeight="1">
      <c r="A137" s="37"/>
    </row>
    <row r="138" ht="14.25" customHeight="1">
      <c r="A138" s="37"/>
    </row>
    <row r="139" ht="14.25" customHeight="1">
      <c r="A139" s="37"/>
    </row>
    <row r="140" ht="14.25" customHeight="1">
      <c r="A140" s="37"/>
    </row>
    <row r="141" ht="14.25" customHeight="1">
      <c r="A141" s="37"/>
    </row>
    <row r="142" ht="14.25" customHeight="1">
      <c r="A142" s="37"/>
    </row>
    <row r="143" ht="14.25" customHeight="1">
      <c r="A143" s="37"/>
    </row>
    <row r="144" ht="14.25" customHeight="1">
      <c r="A144" s="37"/>
    </row>
    <row r="145" ht="14.25" customHeight="1">
      <c r="A145" s="37"/>
    </row>
    <row r="146" ht="14.25" customHeight="1">
      <c r="A146" s="37"/>
    </row>
    <row r="147" ht="14.25" customHeight="1">
      <c r="A147" s="37"/>
    </row>
    <row r="148" ht="14.25" customHeight="1">
      <c r="A148" s="37"/>
    </row>
    <row r="149" ht="14.25" customHeight="1">
      <c r="A149" s="37"/>
    </row>
    <row r="150" ht="14.25" customHeight="1">
      <c r="A150" s="37"/>
    </row>
    <row r="151" ht="14.25" customHeight="1">
      <c r="A151" s="37"/>
    </row>
    <row r="152" ht="14.25" customHeight="1">
      <c r="A152" s="37"/>
    </row>
    <row r="153" ht="14.25" customHeight="1">
      <c r="A153" s="37"/>
    </row>
    <row r="154" ht="14.25" customHeight="1">
      <c r="A154" s="37"/>
    </row>
    <row r="155" ht="14.25" customHeight="1">
      <c r="A155" s="37"/>
    </row>
    <row r="156" ht="14.25" customHeight="1">
      <c r="A156" s="37"/>
    </row>
    <row r="157" ht="14.25" customHeight="1">
      <c r="A157" s="37"/>
    </row>
    <row r="158" ht="14.25" customHeight="1">
      <c r="A158" s="37"/>
    </row>
    <row r="159" ht="14.25" customHeight="1">
      <c r="A159" s="37"/>
    </row>
    <row r="160" ht="14.25" customHeight="1">
      <c r="A160" s="37"/>
    </row>
    <row r="161" ht="14.25" customHeight="1">
      <c r="A161" s="37"/>
    </row>
    <row r="162" ht="14.25" customHeight="1">
      <c r="A162" s="37"/>
    </row>
    <row r="163" ht="14.25" customHeight="1">
      <c r="A163" s="37"/>
    </row>
    <row r="164" ht="14.25" customHeight="1">
      <c r="A164" s="37"/>
    </row>
    <row r="165" ht="14.25" customHeight="1">
      <c r="A165" s="37"/>
    </row>
    <row r="166" ht="14.25" customHeight="1">
      <c r="A166" s="37"/>
    </row>
    <row r="167" ht="14.25" customHeight="1">
      <c r="A167" s="37"/>
    </row>
    <row r="168" ht="14.25" customHeight="1">
      <c r="A168" s="37"/>
    </row>
    <row r="169" ht="14.25" customHeight="1">
      <c r="A169" s="37"/>
    </row>
    <row r="170" ht="14.25" customHeight="1">
      <c r="A170" s="37"/>
    </row>
    <row r="171" ht="14.25" customHeight="1">
      <c r="A171" s="37"/>
    </row>
    <row r="172" ht="14.25" customHeight="1">
      <c r="A172" s="37"/>
    </row>
    <row r="173" ht="14.25" customHeight="1">
      <c r="A173" s="37"/>
    </row>
    <row r="174" ht="14.25" customHeight="1">
      <c r="A174" s="37"/>
    </row>
    <row r="175" ht="14.25" customHeight="1">
      <c r="A175" s="37"/>
    </row>
    <row r="176" ht="14.25" customHeight="1">
      <c r="A176" s="37"/>
    </row>
    <row r="177" ht="14.25" customHeight="1">
      <c r="A177" s="37"/>
    </row>
    <row r="178" ht="14.25" customHeight="1">
      <c r="A178" s="37"/>
    </row>
    <row r="179" ht="14.25" customHeight="1">
      <c r="A179" s="37"/>
    </row>
    <row r="180" ht="14.25" customHeight="1">
      <c r="A180" s="37"/>
    </row>
    <row r="181" ht="14.25" customHeight="1">
      <c r="A181" s="37"/>
    </row>
    <row r="182" ht="14.25" customHeight="1">
      <c r="A182" s="37"/>
    </row>
    <row r="183" ht="14.25" customHeight="1">
      <c r="A183" s="37"/>
    </row>
    <row r="184" ht="14.25" customHeight="1">
      <c r="A184" s="37"/>
    </row>
    <row r="185" ht="14.25" customHeight="1">
      <c r="A185" s="37"/>
    </row>
    <row r="186" ht="14.25" customHeight="1">
      <c r="A186" s="37"/>
    </row>
    <row r="187" ht="14.25" customHeight="1">
      <c r="A187" s="37"/>
    </row>
    <row r="188" ht="14.25" customHeight="1">
      <c r="A188" s="37"/>
    </row>
    <row r="189" ht="14.25" customHeight="1">
      <c r="A189" s="37"/>
    </row>
    <row r="190" ht="14.25" customHeight="1">
      <c r="A190" s="37"/>
    </row>
    <row r="191" ht="14.25" customHeight="1">
      <c r="A191" s="37"/>
    </row>
    <row r="192" ht="14.25" customHeight="1">
      <c r="A192" s="37"/>
    </row>
    <row r="193" ht="14.25" customHeight="1">
      <c r="A193" s="37"/>
    </row>
    <row r="194" ht="14.25" customHeight="1">
      <c r="A194" s="37"/>
    </row>
    <row r="195" ht="14.25" customHeight="1">
      <c r="A195" s="37"/>
    </row>
    <row r="196" ht="14.25" customHeight="1">
      <c r="A196" s="37"/>
    </row>
    <row r="197" ht="14.25" customHeight="1">
      <c r="A197" s="37"/>
    </row>
    <row r="198" ht="14.25" customHeight="1">
      <c r="A198" s="37"/>
    </row>
    <row r="199" ht="14.25" customHeight="1">
      <c r="A199" s="37"/>
    </row>
    <row r="200" ht="14.25" customHeight="1">
      <c r="A200" s="37"/>
    </row>
    <row r="201" ht="14.25" customHeight="1">
      <c r="A201" s="37"/>
    </row>
    <row r="202" ht="14.25" customHeight="1">
      <c r="A202" s="37"/>
    </row>
    <row r="203" ht="14.25" customHeight="1">
      <c r="A203" s="37"/>
    </row>
    <row r="204" ht="14.25" customHeight="1">
      <c r="A204" s="37"/>
    </row>
    <row r="205" ht="14.25" customHeight="1">
      <c r="A205" s="37"/>
    </row>
    <row r="206" ht="14.25" customHeight="1">
      <c r="A206" s="37"/>
    </row>
    <row r="207" ht="14.25" customHeight="1">
      <c r="A207" s="37"/>
    </row>
    <row r="208" ht="14.25" customHeight="1">
      <c r="A208" s="37"/>
    </row>
    <row r="209" ht="14.25" customHeight="1">
      <c r="A209" s="37"/>
    </row>
    <row r="210" ht="14.25" customHeight="1">
      <c r="A210" s="37"/>
    </row>
    <row r="211" ht="14.25" customHeight="1">
      <c r="A211" s="37"/>
    </row>
    <row r="212" ht="14.25" customHeight="1">
      <c r="A212" s="37"/>
    </row>
    <row r="213" ht="14.25" customHeight="1">
      <c r="A213" s="37"/>
    </row>
    <row r="214" ht="14.25" customHeight="1">
      <c r="A214" s="37"/>
    </row>
    <row r="215" ht="14.25" customHeight="1">
      <c r="A215" s="37"/>
    </row>
    <row r="216" ht="14.25" customHeight="1">
      <c r="A216" s="37"/>
    </row>
    <row r="217" ht="14.25" customHeight="1">
      <c r="A217" s="37"/>
    </row>
    <row r="218" ht="14.25" customHeight="1">
      <c r="A218" s="37"/>
    </row>
    <row r="219" ht="14.25" customHeight="1">
      <c r="A219" s="37"/>
    </row>
    <row r="220" ht="14.25" customHeight="1">
      <c r="A220" s="37"/>
    </row>
    <row r="221" ht="14.25" customHeight="1">
      <c r="A221" s="37"/>
    </row>
    <row r="222" ht="14.25" customHeight="1">
      <c r="A222" s="37"/>
    </row>
    <row r="223" ht="14.25" customHeight="1">
      <c r="A223" s="37"/>
    </row>
    <row r="224" ht="14.25" customHeight="1">
      <c r="A224" s="37"/>
    </row>
    <row r="225" ht="14.25" customHeight="1">
      <c r="A225" s="37"/>
    </row>
    <row r="226" ht="14.25" customHeight="1">
      <c r="A226" s="37"/>
    </row>
    <row r="227" ht="14.25" customHeight="1">
      <c r="A227" s="37"/>
    </row>
    <row r="228" ht="14.25" customHeight="1">
      <c r="A228" s="37"/>
    </row>
    <row r="229" ht="14.25" customHeight="1">
      <c r="A229" s="37"/>
    </row>
    <row r="230" ht="14.25" customHeight="1">
      <c r="A230" s="37"/>
    </row>
    <row r="231" ht="14.25" customHeight="1">
      <c r="A231" s="37"/>
    </row>
    <row r="232" ht="14.25" customHeight="1">
      <c r="A232" s="37"/>
    </row>
    <row r="233" ht="14.25" customHeight="1">
      <c r="A233" s="37"/>
    </row>
    <row r="234" ht="14.25" customHeight="1">
      <c r="A234" s="37"/>
    </row>
    <row r="235" ht="14.25" customHeight="1">
      <c r="A235" s="37"/>
    </row>
    <row r="236" ht="14.25" customHeight="1">
      <c r="A236" s="37"/>
    </row>
    <row r="237" ht="14.25" customHeight="1">
      <c r="A237" s="37"/>
    </row>
    <row r="238" ht="14.25" customHeight="1">
      <c r="A238" s="37"/>
    </row>
    <row r="239" ht="14.25" customHeight="1">
      <c r="A239" s="37"/>
    </row>
    <row r="240" ht="14.25" customHeight="1">
      <c r="A240" s="37"/>
    </row>
    <row r="241" ht="14.25" customHeight="1">
      <c r="A241" s="37"/>
    </row>
    <row r="242" ht="14.25" customHeight="1">
      <c r="A242" s="37"/>
    </row>
    <row r="243" ht="14.25" customHeight="1">
      <c r="A243" s="37"/>
    </row>
    <row r="244" ht="14.25" customHeight="1">
      <c r="A244" s="37"/>
    </row>
    <row r="245" ht="14.25" customHeight="1">
      <c r="A245" s="37"/>
    </row>
    <row r="246" ht="14.25" customHeight="1">
      <c r="A246" s="37"/>
    </row>
    <row r="247" ht="14.25" customHeight="1">
      <c r="A247" s="37"/>
    </row>
    <row r="248" ht="14.25" customHeight="1">
      <c r="A248" s="37"/>
    </row>
    <row r="249" ht="14.25" customHeight="1">
      <c r="A249" s="37"/>
    </row>
    <row r="250" ht="14.25" customHeight="1">
      <c r="A250" s="37"/>
    </row>
    <row r="251" ht="14.25" customHeight="1">
      <c r="A251" s="37"/>
    </row>
    <row r="252" ht="14.25" customHeight="1">
      <c r="A252" s="37"/>
    </row>
    <row r="253" ht="14.25" customHeight="1">
      <c r="A253" s="37"/>
    </row>
    <row r="254" ht="14.25" customHeight="1">
      <c r="A254" s="37"/>
    </row>
    <row r="255" ht="14.25" customHeight="1">
      <c r="A255" s="37"/>
    </row>
    <row r="256" ht="14.25" customHeight="1">
      <c r="A256" s="37"/>
    </row>
    <row r="257" ht="14.25" customHeight="1">
      <c r="A257" s="37"/>
    </row>
    <row r="258" ht="14.25" customHeight="1">
      <c r="A258" s="37"/>
    </row>
    <row r="259" ht="14.25" customHeight="1">
      <c r="A259" s="37"/>
    </row>
    <row r="260" ht="14.25" customHeight="1">
      <c r="A260" s="37"/>
    </row>
    <row r="261" ht="14.25" customHeight="1">
      <c r="A261" s="37"/>
    </row>
    <row r="262" ht="14.25" customHeight="1">
      <c r="A262" s="37"/>
    </row>
    <row r="263" ht="14.25" customHeight="1">
      <c r="A263" s="37"/>
    </row>
    <row r="264" ht="14.25" customHeight="1">
      <c r="A264" s="37"/>
    </row>
    <row r="265" ht="14.25" customHeight="1">
      <c r="A265" s="37"/>
    </row>
    <row r="266" ht="14.25" customHeight="1">
      <c r="A266" s="37"/>
    </row>
    <row r="267" ht="14.25" customHeight="1">
      <c r="A267" s="37"/>
    </row>
    <row r="268" ht="14.25" customHeight="1">
      <c r="A268" s="37"/>
    </row>
    <row r="269" ht="14.25" customHeight="1">
      <c r="A269" s="37"/>
    </row>
    <row r="270" ht="14.25" customHeight="1">
      <c r="A270" s="37"/>
    </row>
    <row r="271" ht="14.25" customHeight="1">
      <c r="A271" s="37"/>
    </row>
    <row r="272" ht="14.25" customHeight="1">
      <c r="A272" s="37"/>
    </row>
    <row r="273" ht="14.25" customHeight="1">
      <c r="A273" s="37"/>
    </row>
    <row r="274" ht="14.25" customHeight="1">
      <c r="A274" s="37"/>
    </row>
    <row r="275" ht="14.25" customHeight="1">
      <c r="A275" s="37"/>
    </row>
    <row r="276" ht="14.25" customHeight="1">
      <c r="A276" s="37"/>
    </row>
    <row r="277" ht="14.25" customHeight="1">
      <c r="A277" s="37"/>
    </row>
    <row r="278" ht="14.25" customHeight="1">
      <c r="A278" s="37"/>
    </row>
    <row r="279" ht="14.25" customHeight="1">
      <c r="A279" s="37"/>
    </row>
    <row r="280" ht="14.25" customHeight="1">
      <c r="A280" s="37"/>
    </row>
    <row r="281" ht="14.25" customHeight="1">
      <c r="A281" s="37"/>
    </row>
    <row r="282" ht="14.25" customHeight="1">
      <c r="A282" s="37"/>
    </row>
    <row r="283" ht="14.25" customHeight="1">
      <c r="A283" s="37"/>
    </row>
    <row r="284" ht="14.25" customHeight="1">
      <c r="A284" s="37"/>
    </row>
    <row r="285" ht="14.25" customHeight="1">
      <c r="A285" s="37"/>
    </row>
    <row r="286" ht="14.25" customHeight="1">
      <c r="A286" s="37"/>
    </row>
    <row r="287" ht="14.25" customHeight="1">
      <c r="A287" s="37"/>
    </row>
    <row r="288" ht="14.25" customHeight="1">
      <c r="A288" s="37"/>
    </row>
    <row r="289" ht="14.25" customHeight="1">
      <c r="A289" s="37"/>
    </row>
    <row r="290" ht="14.25" customHeight="1">
      <c r="A290" s="37"/>
    </row>
    <row r="291" ht="14.25" customHeight="1">
      <c r="A291" s="37"/>
    </row>
    <row r="292" ht="14.25" customHeight="1">
      <c r="A292" s="37"/>
    </row>
    <row r="293" ht="14.25" customHeight="1">
      <c r="A293" s="37"/>
    </row>
    <row r="294" ht="14.25" customHeight="1">
      <c r="A294" s="37"/>
    </row>
    <row r="295" ht="14.25" customHeight="1">
      <c r="A295" s="37"/>
    </row>
    <row r="296" ht="14.25" customHeight="1">
      <c r="A296" s="37"/>
    </row>
    <row r="297" ht="14.25" customHeight="1">
      <c r="A297" s="37"/>
    </row>
    <row r="298" ht="14.25" customHeight="1">
      <c r="A298" s="37"/>
    </row>
    <row r="299" ht="14.25" customHeight="1">
      <c r="A299" s="37"/>
    </row>
    <row r="300" ht="14.25" customHeight="1">
      <c r="A300" s="37"/>
    </row>
    <row r="301" ht="14.25" customHeight="1">
      <c r="A301" s="37"/>
    </row>
    <row r="302" ht="14.25" customHeight="1">
      <c r="A302" s="37"/>
    </row>
    <row r="303" ht="14.25" customHeight="1">
      <c r="A303" s="37"/>
    </row>
    <row r="304" ht="14.25" customHeight="1">
      <c r="A304" s="37"/>
    </row>
    <row r="305" ht="14.25" customHeight="1">
      <c r="A305" s="37"/>
    </row>
    <row r="306" ht="14.25" customHeight="1">
      <c r="A306" s="37"/>
    </row>
    <row r="307" ht="14.25" customHeight="1">
      <c r="A307" s="37"/>
    </row>
    <row r="308" ht="14.25" customHeight="1">
      <c r="A308" s="37"/>
    </row>
    <row r="309" ht="14.25" customHeight="1">
      <c r="A309" s="37"/>
    </row>
    <row r="310" ht="14.25" customHeight="1">
      <c r="A310" s="37"/>
    </row>
    <row r="311" ht="14.25" customHeight="1">
      <c r="A311" s="37"/>
    </row>
    <row r="312" ht="14.25" customHeight="1">
      <c r="A312" s="37"/>
    </row>
    <row r="313" ht="14.25" customHeight="1">
      <c r="A313" s="37"/>
    </row>
    <row r="314" ht="14.25" customHeight="1">
      <c r="A314" s="37"/>
    </row>
    <row r="315" ht="14.25" customHeight="1">
      <c r="A315" s="37"/>
    </row>
    <row r="316" ht="14.25" customHeight="1">
      <c r="A316" s="37"/>
    </row>
    <row r="317" ht="14.25" customHeight="1">
      <c r="A317" s="37"/>
    </row>
    <row r="318" ht="14.25" customHeight="1">
      <c r="A318" s="37"/>
    </row>
    <row r="319" ht="14.25" customHeight="1">
      <c r="A319" s="37"/>
    </row>
    <row r="320" ht="14.25" customHeight="1">
      <c r="A320" s="37"/>
    </row>
    <row r="321" ht="14.25" customHeight="1">
      <c r="A321" s="37"/>
    </row>
    <row r="322" ht="14.25" customHeight="1">
      <c r="A322" s="37"/>
    </row>
    <row r="323" ht="14.25" customHeight="1">
      <c r="A323" s="37"/>
    </row>
    <row r="324" ht="14.25" customHeight="1">
      <c r="A324" s="37"/>
    </row>
    <row r="325" ht="14.25" customHeight="1">
      <c r="A325" s="37"/>
    </row>
    <row r="326" ht="14.25" customHeight="1">
      <c r="A326" s="37"/>
    </row>
    <row r="327" ht="14.25" customHeight="1">
      <c r="A327" s="37"/>
    </row>
    <row r="328" ht="14.25" customHeight="1">
      <c r="A328" s="37"/>
    </row>
    <row r="329" ht="14.25" customHeight="1">
      <c r="A329" s="37"/>
    </row>
    <row r="330" ht="14.25" customHeight="1">
      <c r="A330" s="37"/>
    </row>
    <row r="331" ht="14.25" customHeight="1">
      <c r="A331" s="37"/>
    </row>
    <row r="332" ht="14.25" customHeight="1">
      <c r="A332" s="37"/>
    </row>
    <row r="333" ht="14.25" customHeight="1">
      <c r="A333" s="37"/>
    </row>
    <row r="334" ht="14.25" customHeight="1">
      <c r="A334" s="37"/>
    </row>
    <row r="335" ht="14.25" customHeight="1">
      <c r="A335" s="37"/>
    </row>
    <row r="336" ht="14.25" customHeight="1">
      <c r="A336" s="37"/>
    </row>
    <row r="337" ht="14.25" customHeight="1">
      <c r="A337" s="37"/>
    </row>
    <row r="338" ht="14.25" customHeight="1">
      <c r="A338" s="37"/>
    </row>
    <row r="339" ht="14.25" customHeight="1">
      <c r="A339" s="37"/>
    </row>
    <row r="340" ht="14.25" customHeight="1">
      <c r="A340" s="37"/>
    </row>
    <row r="341" ht="14.25" customHeight="1">
      <c r="A341" s="37"/>
    </row>
    <row r="342" ht="14.25" customHeight="1">
      <c r="A342" s="37"/>
    </row>
    <row r="343" ht="14.25" customHeight="1">
      <c r="A343" s="37"/>
    </row>
    <row r="344" ht="14.25" customHeight="1">
      <c r="A344" s="37"/>
    </row>
    <row r="345" ht="14.25" customHeight="1">
      <c r="A345" s="37"/>
    </row>
    <row r="346" ht="14.25" customHeight="1">
      <c r="A346" s="37"/>
    </row>
    <row r="347" ht="14.25" customHeight="1">
      <c r="A347" s="37"/>
    </row>
    <row r="348" ht="14.25" customHeight="1">
      <c r="A348" s="37"/>
    </row>
    <row r="349" ht="14.25" customHeight="1">
      <c r="A349" s="37"/>
    </row>
    <row r="350" ht="14.25" customHeight="1">
      <c r="A350" s="37"/>
    </row>
    <row r="351" ht="14.25" customHeight="1">
      <c r="A351" s="37"/>
    </row>
    <row r="352" ht="14.25" customHeight="1">
      <c r="A352" s="37"/>
    </row>
    <row r="353" ht="14.25" customHeight="1">
      <c r="A353" s="37"/>
    </row>
    <row r="354" ht="14.25" customHeight="1">
      <c r="A354" s="37"/>
    </row>
    <row r="355" ht="14.25" customHeight="1">
      <c r="A355" s="37"/>
    </row>
    <row r="356" ht="14.25" customHeight="1">
      <c r="A356" s="37"/>
    </row>
    <row r="357" ht="14.25" customHeight="1">
      <c r="A357" s="37"/>
    </row>
    <row r="358" ht="14.25" customHeight="1">
      <c r="A358" s="37"/>
    </row>
    <row r="359" ht="14.25" customHeight="1">
      <c r="A359" s="37"/>
    </row>
    <row r="360" ht="14.25" customHeight="1">
      <c r="A360" s="37"/>
    </row>
    <row r="361" ht="14.25" customHeight="1">
      <c r="A361" s="37"/>
    </row>
    <row r="362" ht="14.25" customHeight="1">
      <c r="A362" s="37"/>
    </row>
    <row r="363" ht="14.25" customHeight="1">
      <c r="A363" s="37"/>
    </row>
    <row r="364" ht="14.25" customHeight="1">
      <c r="A364" s="37"/>
    </row>
    <row r="365" ht="14.25" customHeight="1">
      <c r="A365" s="37"/>
    </row>
    <row r="366" ht="14.25" customHeight="1">
      <c r="A366" s="37"/>
    </row>
    <row r="367" ht="14.25" customHeight="1">
      <c r="A367" s="37"/>
    </row>
    <row r="368" ht="14.25" customHeight="1">
      <c r="A368" s="37"/>
    </row>
    <row r="369" ht="14.25" customHeight="1">
      <c r="A369" s="37"/>
    </row>
    <row r="370" ht="14.25" customHeight="1">
      <c r="A370" s="37"/>
    </row>
    <row r="371" ht="14.25" customHeight="1">
      <c r="A371" s="37"/>
    </row>
    <row r="372" ht="14.25" customHeight="1">
      <c r="A372" s="37"/>
    </row>
    <row r="373" ht="14.25" customHeight="1">
      <c r="A373" s="37"/>
    </row>
    <row r="374" ht="14.25" customHeight="1">
      <c r="A374" s="37"/>
    </row>
    <row r="375" ht="14.25" customHeight="1">
      <c r="A375" s="37"/>
    </row>
    <row r="376" ht="14.25" customHeight="1">
      <c r="A376" s="37"/>
    </row>
    <row r="377" ht="14.25" customHeight="1">
      <c r="A377" s="37"/>
    </row>
    <row r="378" ht="14.25" customHeight="1">
      <c r="A378" s="37"/>
    </row>
    <row r="379" ht="14.25" customHeight="1">
      <c r="A379" s="37"/>
    </row>
    <row r="380" ht="14.25" customHeight="1">
      <c r="A380" s="37"/>
    </row>
    <row r="381" ht="14.25" customHeight="1">
      <c r="A381" s="37"/>
    </row>
    <row r="382" ht="14.25" customHeight="1">
      <c r="A382" s="37"/>
    </row>
    <row r="383" ht="14.25" customHeight="1">
      <c r="A383" s="37"/>
    </row>
    <row r="384" ht="14.25" customHeight="1">
      <c r="A384" s="37"/>
    </row>
    <row r="385" ht="14.25" customHeight="1">
      <c r="A385" s="37"/>
    </row>
    <row r="386" ht="14.25" customHeight="1">
      <c r="A386" s="37"/>
    </row>
    <row r="387" ht="14.25" customHeight="1">
      <c r="A387" s="37"/>
    </row>
    <row r="388" ht="14.25" customHeight="1">
      <c r="A388" s="37"/>
    </row>
    <row r="389" ht="14.25" customHeight="1">
      <c r="A389" s="37"/>
    </row>
    <row r="390" ht="14.25" customHeight="1">
      <c r="A390" s="37"/>
    </row>
    <row r="391" ht="14.25" customHeight="1">
      <c r="A391" s="37"/>
    </row>
    <row r="392" ht="14.25" customHeight="1">
      <c r="A392" s="37"/>
    </row>
    <row r="393" ht="14.25" customHeight="1">
      <c r="A393" s="37"/>
    </row>
    <row r="394" ht="14.25" customHeight="1">
      <c r="A394" s="37"/>
    </row>
    <row r="395" ht="14.25" customHeight="1">
      <c r="A395" s="37"/>
    </row>
    <row r="396" ht="14.25" customHeight="1">
      <c r="A396" s="37"/>
    </row>
    <row r="397" ht="14.25" customHeight="1">
      <c r="A397" s="37"/>
    </row>
    <row r="398" ht="14.25" customHeight="1">
      <c r="A398" s="37"/>
    </row>
    <row r="399" ht="14.25" customHeight="1">
      <c r="A399" s="37"/>
    </row>
    <row r="400" ht="14.25" customHeight="1">
      <c r="A400" s="37"/>
    </row>
    <row r="401" ht="14.25" customHeight="1">
      <c r="A401" s="37"/>
    </row>
    <row r="402" ht="14.25" customHeight="1">
      <c r="A402" s="37"/>
    </row>
    <row r="403" ht="14.25" customHeight="1">
      <c r="A403" s="37"/>
    </row>
    <row r="404" ht="14.25" customHeight="1">
      <c r="A404" s="37"/>
    </row>
    <row r="405" ht="14.25" customHeight="1">
      <c r="A405" s="37"/>
    </row>
    <row r="406" ht="14.25" customHeight="1">
      <c r="A406" s="37"/>
    </row>
    <row r="407" ht="14.25" customHeight="1">
      <c r="A407" s="37"/>
    </row>
    <row r="408" ht="14.25" customHeight="1">
      <c r="A408" s="37"/>
    </row>
    <row r="409" ht="14.25" customHeight="1">
      <c r="A409" s="37"/>
    </row>
    <row r="410" ht="14.25" customHeight="1">
      <c r="A410" s="37"/>
    </row>
    <row r="411" ht="14.25" customHeight="1">
      <c r="A411" s="37"/>
    </row>
    <row r="412" ht="14.25" customHeight="1">
      <c r="A412" s="37"/>
    </row>
    <row r="413" ht="14.25" customHeight="1">
      <c r="A413" s="37"/>
    </row>
    <row r="414" ht="14.25" customHeight="1">
      <c r="A414" s="37"/>
    </row>
    <row r="415" ht="14.25" customHeight="1">
      <c r="A415" s="37"/>
    </row>
    <row r="416" ht="14.25" customHeight="1">
      <c r="A416" s="37"/>
    </row>
    <row r="417" ht="14.25" customHeight="1">
      <c r="A417" s="37"/>
    </row>
    <row r="418" ht="14.25" customHeight="1">
      <c r="A418" s="37"/>
    </row>
    <row r="419" ht="14.25" customHeight="1">
      <c r="A419" s="37"/>
    </row>
    <row r="420" ht="14.25" customHeight="1">
      <c r="A420" s="37"/>
    </row>
    <row r="421" ht="14.25" customHeight="1">
      <c r="A421" s="37"/>
    </row>
    <row r="422" ht="14.25" customHeight="1">
      <c r="A422" s="37"/>
    </row>
    <row r="423" ht="14.25" customHeight="1">
      <c r="A423" s="37"/>
    </row>
    <row r="424" ht="14.25" customHeight="1">
      <c r="A424" s="37"/>
    </row>
    <row r="425" ht="14.25" customHeight="1">
      <c r="A425" s="37"/>
    </row>
    <row r="426" ht="14.25" customHeight="1">
      <c r="A426" s="37"/>
    </row>
    <row r="427" ht="14.25" customHeight="1">
      <c r="A427" s="37"/>
    </row>
    <row r="428" ht="14.25" customHeight="1">
      <c r="A428" s="37"/>
    </row>
    <row r="429" ht="14.25" customHeight="1">
      <c r="A429" s="37"/>
    </row>
    <row r="430" ht="14.25" customHeight="1">
      <c r="A430" s="37"/>
    </row>
    <row r="431" ht="14.25" customHeight="1">
      <c r="A431" s="37"/>
    </row>
    <row r="432" ht="14.25" customHeight="1">
      <c r="A432" s="37"/>
    </row>
    <row r="433" ht="14.25" customHeight="1">
      <c r="A433" s="37"/>
    </row>
    <row r="434" ht="14.25" customHeight="1">
      <c r="A434" s="37"/>
    </row>
    <row r="435" ht="14.25" customHeight="1">
      <c r="A435" s="37"/>
    </row>
    <row r="436" ht="14.25" customHeight="1">
      <c r="A436" s="37"/>
    </row>
    <row r="437" ht="14.25" customHeight="1">
      <c r="A437" s="37"/>
    </row>
    <row r="438" ht="14.25" customHeight="1">
      <c r="A438" s="37"/>
    </row>
    <row r="439" ht="14.25" customHeight="1">
      <c r="A439" s="37"/>
    </row>
    <row r="440" ht="14.25" customHeight="1">
      <c r="A440" s="37"/>
    </row>
    <row r="441" ht="14.25" customHeight="1">
      <c r="A441" s="37"/>
    </row>
    <row r="442" ht="14.25" customHeight="1">
      <c r="A442" s="37"/>
    </row>
    <row r="443" ht="14.25" customHeight="1">
      <c r="A443" s="37"/>
    </row>
    <row r="444" ht="14.25" customHeight="1">
      <c r="A444" s="37"/>
    </row>
    <row r="445" ht="14.25" customHeight="1">
      <c r="A445" s="37"/>
    </row>
    <row r="446" ht="14.25" customHeight="1">
      <c r="A446" s="37"/>
    </row>
    <row r="447" ht="14.25" customHeight="1">
      <c r="A447" s="37"/>
    </row>
    <row r="448" ht="14.25" customHeight="1">
      <c r="A448" s="37"/>
    </row>
    <row r="449" ht="14.25" customHeight="1">
      <c r="A449" s="37"/>
    </row>
    <row r="450" ht="14.25" customHeight="1">
      <c r="A450" s="37"/>
    </row>
    <row r="451" ht="14.25" customHeight="1">
      <c r="A451" s="37"/>
    </row>
    <row r="452" ht="14.25" customHeight="1">
      <c r="A452" s="37"/>
    </row>
    <row r="453" ht="14.25" customHeight="1">
      <c r="A453" s="37"/>
    </row>
    <row r="454" ht="14.25" customHeight="1">
      <c r="A454" s="37"/>
    </row>
    <row r="455" ht="14.25" customHeight="1">
      <c r="A455" s="37"/>
    </row>
    <row r="456" ht="14.25" customHeight="1">
      <c r="A456" s="37"/>
    </row>
    <row r="457" ht="14.25" customHeight="1">
      <c r="A457" s="37"/>
    </row>
    <row r="458" ht="14.25" customHeight="1">
      <c r="A458" s="37"/>
    </row>
    <row r="459" ht="14.25" customHeight="1">
      <c r="A459" s="37"/>
    </row>
    <row r="460" ht="14.25" customHeight="1">
      <c r="A460" s="37"/>
    </row>
    <row r="461" ht="14.25" customHeight="1">
      <c r="A461" s="37"/>
    </row>
    <row r="462" ht="14.25" customHeight="1">
      <c r="A462" s="37"/>
    </row>
    <row r="463" ht="14.25" customHeight="1">
      <c r="A463" s="37"/>
    </row>
    <row r="464" ht="14.25" customHeight="1">
      <c r="A464" s="37"/>
    </row>
    <row r="465" ht="14.25" customHeight="1">
      <c r="A465" s="37"/>
    </row>
    <row r="466" ht="14.25" customHeight="1">
      <c r="A466" s="37"/>
    </row>
    <row r="467" ht="14.25" customHeight="1">
      <c r="A467" s="37"/>
    </row>
    <row r="468" ht="14.25" customHeight="1">
      <c r="A468" s="37"/>
    </row>
    <row r="469" ht="14.25" customHeight="1">
      <c r="A469" s="37"/>
    </row>
    <row r="470" ht="14.25" customHeight="1">
      <c r="A470" s="37"/>
    </row>
    <row r="471" ht="14.25" customHeight="1">
      <c r="A471" s="37"/>
    </row>
    <row r="472" ht="14.25" customHeight="1">
      <c r="A472" s="37"/>
    </row>
    <row r="473" ht="14.25" customHeight="1">
      <c r="A473" s="37"/>
    </row>
    <row r="474" ht="14.25" customHeight="1">
      <c r="A474" s="37"/>
    </row>
    <row r="475" ht="14.25" customHeight="1">
      <c r="A475" s="37"/>
    </row>
    <row r="476" ht="14.25" customHeight="1">
      <c r="A476" s="37"/>
    </row>
    <row r="477" ht="14.25" customHeight="1">
      <c r="A477" s="37"/>
    </row>
    <row r="478" ht="14.25" customHeight="1">
      <c r="A478" s="37"/>
    </row>
    <row r="479" ht="14.25" customHeight="1">
      <c r="A479" s="37"/>
    </row>
    <row r="480" ht="14.25" customHeight="1">
      <c r="A480" s="37"/>
    </row>
    <row r="481" ht="14.25" customHeight="1">
      <c r="A481" s="37"/>
    </row>
    <row r="482" ht="14.25" customHeight="1">
      <c r="A482" s="37"/>
    </row>
    <row r="483" ht="14.25" customHeight="1">
      <c r="A483" s="37"/>
    </row>
    <row r="484" ht="14.25" customHeight="1">
      <c r="A484" s="37"/>
    </row>
    <row r="485" ht="14.25" customHeight="1">
      <c r="A485" s="37"/>
    </row>
    <row r="486" ht="14.25" customHeight="1">
      <c r="A486" s="37"/>
    </row>
    <row r="487" ht="14.25" customHeight="1">
      <c r="A487" s="37"/>
    </row>
    <row r="488" ht="14.25" customHeight="1">
      <c r="A488" s="37"/>
    </row>
    <row r="489" ht="14.25" customHeight="1">
      <c r="A489" s="37"/>
    </row>
    <row r="490" ht="14.25" customHeight="1">
      <c r="A490" s="37"/>
    </row>
    <row r="491" ht="14.25" customHeight="1">
      <c r="A491" s="37"/>
    </row>
    <row r="492" ht="14.25" customHeight="1">
      <c r="A492" s="37"/>
    </row>
    <row r="493" ht="14.25" customHeight="1">
      <c r="A493" s="37"/>
    </row>
    <row r="494" ht="14.25" customHeight="1">
      <c r="A494" s="37"/>
    </row>
    <row r="495" ht="14.25" customHeight="1">
      <c r="A495" s="37"/>
    </row>
    <row r="496" ht="14.25" customHeight="1">
      <c r="A496" s="37"/>
    </row>
    <row r="497" ht="14.25" customHeight="1">
      <c r="A497" s="37"/>
    </row>
    <row r="498" ht="14.25" customHeight="1">
      <c r="A498" s="37"/>
    </row>
    <row r="499" ht="14.25" customHeight="1">
      <c r="A499" s="37"/>
    </row>
    <row r="500" ht="14.25" customHeight="1">
      <c r="A500" s="37"/>
    </row>
    <row r="501" ht="14.25" customHeight="1">
      <c r="A501" s="37"/>
    </row>
    <row r="502" ht="14.25" customHeight="1">
      <c r="A502" s="37"/>
    </row>
    <row r="503" ht="14.25" customHeight="1">
      <c r="A503" s="37"/>
    </row>
    <row r="504" ht="14.25" customHeight="1">
      <c r="A504" s="37"/>
    </row>
    <row r="505" ht="14.25" customHeight="1">
      <c r="A505" s="37"/>
    </row>
    <row r="506" ht="14.25" customHeight="1">
      <c r="A506" s="37"/>
    </row>
    <row r="507" ht="14.25" customHeight="1">
      <c r="A507" s="37"/>
    </row>
    <row r="508" ht="14.25" customHeight="1">
      <c r="A508" s="37"/>
    </row>
    <row r="509" ht="14.25" customHeight="1">
      <c r="A509" s="37"/>
    </row>
    <row r="510" ht="14.25" customHeight="1">
      <c r="A510" s="37"/>
    </row>
    <row r="511" ht="14.25" customHeight="1">
      <c r="A511" s="37"/>
    </row>
    <row r="512" ht="14.25" customHeight="1">
      <c r="A512" s="37"/>
    </row>
    <row r="513" ht="14.25" customHeight="1">
      <c r="A513" s="37"/>
    </row>
    <row r="514" ht="14.25" customHeight="1">
      <c r="A514" s="37"/>
    </row>
    <row r="515" ht="14.25" customHeight="1">
      <c r="A515" s="37"/>
    </row>
    <row r="516" ht="14.25" customHeight="1">
      <c r="A516" s="37"/>
    </row>
    <row r="517" ht="14.25" customHeight="1">
      <c r="A517" s="37"/>
    </row>
    <row r="518" ht="14.25" customHeight="1">
      <c r="A518" s="37"/>
    </row>
    <row r="519" ht="14.25" customHeight="1">
      <c r="A519" s="37"/>
    </row>
    <row r="520" ht="14.25" customHeight="1">
      <c r="A520" s="37"/>
    </row>
    <row r="521" ht="14.25" customHeight="1">
      <c r="A521" s="37"/>
    </row>
    <row r="522" ht="14.25" customHeight="1">
      <c r="A522" s="37"/>
    </row>
    <row r="523" ht="14.25" customHeight="1">
      <c r="A523" s="37"/>
    </row>
    <row r="524" ht="14.25" customHeight="1">
      <c r="A524" s="37"/>
    </row>
    <row r="525" ht="14.25" customHeight="1">
      <c r="A525" s="37"/>
    </row>
    <row r="526" ht="14.25" customHeight="1">
      <c r="A526" s="37"/>
    </row>
    <row r="527" ht="14.25" customHeight="1">
      <c r="A527" s="37"/>
    </row>
    <row r="528" ht="14.25" customHeight="1">
      <c r="A528" s="37"/>
    </row>
    <row r="529" ht="14.25" customHeight="1">
      <c r="A529" s="37"/>
    </row>
    <row r="530" ht="14.25" customHeight="1">
      <c r="A530" s="37"/>
    </row>
    <row r="531" ht="14.25" customHeight="1">
      <c r="A531" s="37"/>
    </row>
    <row r="532" ht="14.25" customHeight="1">
      <c r="A532" s="37"/>
    </row>
    <row r="533" ht="14.25" customHeight="1">
      <c r="A533" s="37"/>
    </row>
    <row r="534" ht="14.25" customHeight="1">
      <c r="A534" s="37"/>
    </row>
    <row r="535" ht="14.25" customHeight="1">
      <c r="A535" s="37"/>
    </row>
    <row r="536" ht="14.25" customHeight="1">
      <c r="A536" s="37"/>
    </row>
    <row r="537" ht="14.25" customHeight="1">
      <c r="A537" s="37"/>
    </row>
    <row r="538" ht="14.25" customHeight="1">
      <c r="A538" s="37"/>
    </row>
    <row r="539" ht="14.25" customHeight="1">
      <c r="A539" s="37"/>
    </row>
    <row r="540" ht="14.25" customHeight="1">
      <c r="A540" s="37"/>
    </row>
    <row r="541" ht="14.25" customHeight="1">
      <c r="A541" s="37"/>
    </row>
    <row r="542" ht="14.25" customHeight="1">
      <c r="A542" s="37"/>
    </row>
    <row r="543" ht="14.25" customHeight="1">
      <c r="A543" s="37"/>
    </row>
    <row r="544" ht="14.25" customHeight="1">
      <c r="A544" s="37"/>
    </row>
    <row r="545" ht="14.25" customHeight="1">
      <c r="A545" s="37"/>
    </row>
    <row r="546" ht="14.25" customHeight="1">
      <c r="A546" s="37"/>
    </row>
    <row r="547" ht="14.25" customHeight="1">
      <c r="A547" s="37"/>
    </row>
    <row r="548" ht="14.25" customHeight="1">
      <c r="A548" s="37"/>
    </row>
    <row r="549" ht="14.25" customHeight="1">
      <c r="A549" s="37"/>
    </row>
    <row r="550" ht="14.25" customHeight="1">
      <c r="A550" s="37"/>
    </row>
    <row r="551" ht="14.25" customHeight="1">
      <c r="A551" s="37"/>
    </row>
    <row r="552" ht="14.25" customHeight="1">
      <c r="A552" s="37"/>
    </row>
    <row r="553" ht="14.25" customHeight="1">
      <c r="A553" s="37"/>
    </row>
    <row r="554" ht="14.25" customHeight="1">
      <c r="A554" s="37"/>
    </row>
    <row r="555" ht="14.25" customHeight="1">
      <c r="A555" s="37"/>
    </row>
    <row r="556" ht="14.25" customHeight="1">
      <c r="A556" s="37"/>
    </row>
    <row r="557" ht="14.25" customHeight="1">
      <c r="A557" s="37"/>
    </row>
    <row r="558" ht="14.25" customHeight="1">
      <c r="A558" s="37"/>
    </row>
    <row r="559" ht="14.25" customHeight="1">
      <c r="A559" s="37"/>
    </row>
    <row r="560" ht="14.25" customHeight="1">
      <c r="A560" s="37"/>
    </row>
    <row r="561" ht="14.25" customHeight="1">
      <c r="A561" s="37"/>
    </row>
    <row r="562" ht="14.25" customHeight="1">
      <c r="A562" s="37"/>
    </row>
    <row r="563" ht="14.25" customHeight="1">
      <c r="A563" s="37"/>
    </row>
    <row r="564" ht="14.25" customHeight="1">
      <c r="A564" s="37"/>
    </row>
    <row r="565" ht="14.25" customHeight="1">
      <c r="A565" s="37"/>
    </row>
    <row r="566" ht="14.25" customHeight="1">
      <c r="A566" s="37"/>
    </row>
    <row r="567" ht="14.25" customHeight="1">
      <c r="A567" s="37"/>
    </row>
    <row r="568" ht="14.25" customHeight="1">
      <c r="A568" s="37"/>
    </row>
    <row r="569" ht="14.25" customHeight="1">
      <c r="A569" s="37"/>
    </row>
    <row r="570" ht="14.25" customHeight="1">
      <c r="A570" s="37"/>
    </row>
    <row r="571" ht="14.25" customHeight="1">
      <c r="A571" s="37"/>
    </row>
    <row r="572" ht="14.25" customHeight="1">
      <c r="A572" s="37"/>
    </row>
    <row r="573" ht="14.25" customHeight="1">
      <c r="A573" s="37"/>
    </row>
    <row r="574" ht="14.25" customHeight="1">
      <c r="A574" s="37"/>
    </row>
    <row r="575" ht="14.25" customHeight="1">
      <c r="A575" s="37"/>
    </row>
    <row r="576" ht="14.25" customHeight="1">
      <c r="A576" s="37"/>
    </row>
    <row r="577" ht="14.25" customHeight="1">
      <c r="A577" s="37"/>
    </row>
    <row r="578" ht="14.25" customHeight="1">
      <c r="A578" s="37"/>
    </row>
    <row r="579" ht="14.25" customHeight="1">
      <c r="A579" s="37"/>
    </row>
    <row r="580" ht="14.25" customHeight="1">
      <c r="A580" s="37"/>
    </row>
    <row r="581" ht="14.25" customHeight="1">
      <c r="A581" s="37"/>
    </row>
    <row r="582" ht="14.25" customHeight="1">
      <c r="A582" s="37"/>
    </row>
    <row r="583" ht="14.25" customHeight="1">
      <c r="A583" s="37"/>
    </row>
    <row r="584" ht="14.25" customHeight="1">
      <c r="A584" s="37"/>
    </row>
    <row r="585" ht="14.25" customHeight="1">
      <c r="A585" s="37"/>
    </row>
    <row r="586" ht="14.25" customHeight="1">
      <c r="A586" s="37"/>
    </row>
    <row r="587" ht="14.25" customHeight="1">
      <c r="A587" s="37"/>
    </row>
    <row r="588" ht="14.25" customHeight="1">
      <c r="A588" s="37"/>
    </row>
    <row r="589" ht="14.25" customHeight="1">
      <c r="A589" s="37"/>
    </row>
    <row r="590" ht="14.25" customHeight="1">
      <c r="A590" s="37"/>
    </row>
    <row r="591" ht="14.25" customHeight="1">
      <c r="A591" s="37"/>
    </row>
    <row r="592" ht="14.25" customHeight="1">
      <c r="A592" s="37"/>
    </row>
    <row r="593" ht="14.25" customHeight="1">
      <c r="A593" s="37"/>
    </row>
    <row r="594" ht="14.25" customHeight="1">
      <c r="A594" s="37"/>
    </row>
    <row r="595" ht="14.25" customHeight="1">
      <c r="A595" s="37"/>
    </row>
    <row r="596" ht="14.25" customHeight="1">
      <c r="A596" s="37"/>
    </row>
    <row r="597" ht="14.25" customHeight="1">
      <c r="A597" s="37"/>
    </row>
    <row r="598" ht="14.25" customHeight="1">
      <c r="A598" s="37"/>
    </row>
    <row r="599" ht="14.25" customHeight="1">
      <c r="A599" s="37"/>
    </row>
    <row r="600" ht="14.25" customHeight="1">
      <c r="A600" s="37"/>
    </row>
    <row r="601" ht="14.25" customHeight="1">
      <c r="A601" s="37"/>
    </row>
    <row r="602" ht="14.25" customHeight="1">
      <c r="A602" s="37"/>
    </row>
    <row r="603" ht="14.25" customHeight="1">
      <c r="A603" s="37"/>
    </row>
    <row r="604" ht="14.25" customHeight="1">
      <c r="A604" s="37"/>
    </row>
    <row r="605" ht="14.25" customHeight="1">
      <c r="A605" s="37"/>
    </row>
    <row r="606" ht="14.25" customHeight="1">
      <c r="A606" s="37"/>
    </row>
    <row r="607" ht="14.25" customHeight="1">
      <c r="A607" s="37"/>
    </row>
    <row r="608" ht="14.25" customHeight="1">
      <c r="A608" s="37"/>
    </row>
    <row r="609" ht="14.25" customHeight="1">
      <c r="A609" s="37"/>
    </row>
    <row r="610" ht="14.25" customHeight="1">
      <c r="A610" s="37"/>
    </row>
    <row r="611" ht="14.25" customHeight="1">
      <c r="A611" s="37"/>
    </row>
    <row r="612" ht="14.25" customHeight="1">
      <c r="A612" s="37"/>
    </row>
    <row r="613" ht="14.25" customHeight="1">
      <c r="A613" s="37"/>
    </row>
    <row r="614" ht="14.25" customHeight="1">
      <c r="A614" s="37"/>
    </row>
    <row r="615" ht="14.25" customHeight="1">
      <c r="A615" s="37"/>
    </row>
    <row r="616" ht="14.25" customHeight="1">
      <c r="A616" s="37"/>
    </row>
    <row r="617" ht="14.25" customHeight="1">
      <c r="A617" s="37"/>
    </row>
    <row r="618" ht="14.25" customHeight="1">
      <c r="A618" s="37"/>
    </row>
    <row r="619" ht="14.25" customHeight="1">
      <c r="A619" s="37"/>
    </row>
    <row r="620" ht="14.25" customHeight="1">
      <c r="A620" s="37"/>
    </row>
    <row r="621" ht="14.25" customHeight="1">
      <c r="A621" s="37"/>
    </row>
    <row r="622" ht="14.25" customHeight="1">
      <c r="A622" s="37"/>
    </row>
    <row r="623" ht="14.25" customHeight="1">
      <c r="A623" s="37"/>
    </row>
    <row r="624" ht="14.25" customHeight="1">
      <c r="A624" s="37"/>
    </row>
    <row r="625" ht="14.25" customHeight="1">
      <c r="A625" s="37"/>
    </row>
    <row r="626" ht="14.25" customHeight="1">
      <c r="A626" s="37"/>
    </row>
    <row r="627" ht="14.25" customHeight="1">
      <c r="A627" s="37"/>
    </row>
    <row r="628" ht="14.25" customHeight="1">
      <c r="A628" s="37"/>
    </row>
    <row r="629" ht="14.25" customHeight="1">
      <c r="A629" s="37"/>
    </row>
    <row r="630" ht="14.25" customHeight="1">
      <c r="A630" s="37"/>
    </row>
    <row r="631" ht="14.25" customHeight="1">
      <c r="A631" s="37"/>
    </row>
    <row r="632" ht="14.25" customHeight="1">
      <c r="A632" s="37"/>
    </row>
    <row r="633" ht="14.25" customHeight="1">
      <c r="A633" s="37"/>
    </row>
    <row r="634" ht="14.25" customHeight="1">
      <c r="A634" s="37"/>
    </row>
    <row r="635" ht="14.25" customHeight="1">
      <c r="A635" s="37"/>
    </row>
    <row r="636" ht="14.25" customHeight="1">
      <c r="A636" s="37"/>
    </row>
    <row r="637" ht="14.25" customHeight="1">
      <c r="A637" s="37"/>
    </row>
    <row r="638" ht="14.25" customHeight="1">
      <c r="A638" s="37"/>
    </row>
    <row r="639" ht="14.25" customHeight="1">
      <c r="A639" s="37"/>
    </row>
    <row r="640" ht="14.25" customHeight="1">
      <c r="A640" s="37"/>
    </row>
    <row r="641" ht="14.25" customHeight="1">
      <c r="A641" s="37"/>
    </row>
    <row r="642" ht="14.25" customHeight="1">
      <c r="A642" s="37"/>
    </row>
    <row r="643" ht="14.25" customHeight="1">
      <c r="A643" s="37"/>
    </row>
    <row r="644" ht="14.25" customHeight="1">
      <c r="A644" s="37"/>
    </row>
    <row r="645" ht="14.25" customHeight="1">
      <c r="A645" s="37"/>
    </row>
    <row r="646" ht="14.25" customHeight="1">
      <c r="A646" s="37"/>
    </row>
    <row r="647" ht="14.25" customHeight="1">
      <c r="A647" s="37"/>
    </row>
    <row r="648" ht="14.25" customHeight="1">
      <c r="A648" s="37"/>
    </row>
    <row r="649" ht="14.25" customHeight="1">
      <c r="A649" s="37"/>
    </row>
    <row r="650" ht="14.25" customHeight="1">
      <c r="A650" s="37"/>
    </row>
    <row r="651" ht="14.25" customHeight="1">
      <c r="A651" s="37"/>
    </row>
    <row r="652" ht="14.25" customHeight="1">
      <c r="A652" s="37"/>
    </row>
    <row r="653" ht="14.25" customHeight="1">
      <c r="A653" s="37"/>
    </row>
    <row r="654" ht="14.25" customHeight="1">
      <c r="A654" s="37"/>
    </row>
    <row r="655" ht="14.25" customHeight="1">
      <c r="A655" s="37"/>
    </row>
    <row r="656" ht="14.25" customHeight="1">
      <c r="A656" s="37"/>
    </row>
    <row r="657" ht="14.25" customHeight="1">
      <c r="A657" s="37"/>
    </row>
    <row r="658" ht="14.25" customHeight="1">
      <c r="A658" s="37"/>
    </row>
    <row r="659" ht="14.25" customHeight="1">
      <c r="A659" s="37"/>
    </row>
    <row r="660" ht="14.25" customHeight="1">
      <c r="A660" s="37"/>
    </row>
    <row r="661" ht="14.25" customHeight="1">
      <c r="A661" s="37"/>
    </row>
    <row r="662" ht="14.25" customHeight="1">
      <c r="A662" s="37"/>
    </row>
    <row r="663" ht="14.25" customHeight="1">
      <c r="A663" s="37"/>
    </row>
    <row r="664" ht="14.25" customHeight="1">
      <c r="A664" s="37"/>
    </row>
    <row r="665" ht="14.25" customHeight="1">
      <c r="A665" s="37"/>
    </row>
    <row r="666" ht="14.25" customHeight="1">
      <c r="A666" s="37"/>
    </row>
    <row r="667" ht="14.25" customHeight="1">
      <c r="A667" s="37"/>
    </row>
    <row r="668" ht="14.25" customHeight="1">
      <c r="A668" s="37"/>
    </row>
    <row r="669" ht="14.25" customHeight="1">
      <c r="A669" s="37"/>
    </row>
    <row r="670" ht="14.25" customHeight="1">
      <c r="A670" s="37"/>
    </row>
    <row r="671" ht="14.25" customHeight="1">
      <c r="A671" s="37"/>
    </row>
    <row r="672" ht="14.25" customHeight="1">
      <c r="A672" s="37"/>
    </row>
    <row r="673" ht="14.25" customHeight="1">
      <c r="A673" s="37"/>
    </row>
    <row r="674" ht="14.25" customHeight="1">
      <c r="A674" s="37"/>
    </row>
    <row r="675" ht="14.25" customHeight="1">
      <c r="A675" s="37"/>
    </row>
    <row r="676" ht="14.25" customHeight="1">
      <c r="A676" s="37"/>
    </row>
    <row r="677" ht="14.25" customHeight="1">
      <c r="A677" s="37"/>
    </row>
    <row r="678" ht="14.25" customHeight="1">
      <c r="A678" s="37"/>
    </row>
    <row r="679" ht="14.25" customHeight="1">
      <c r="A679" s="37"/>
    </row>
    <row r="680" ht="14.25" customHeight="1">
      <c r="A680" s="37"/>
    </row>
    <row r="681" ht="14.25" customHeight="1">
      <c r="A681" s="37"/>
    </row>
    <row r="682" ht="14.25" customHeight="1">
      <c r="A682" s="37"/>
    </row>
    <row r="683" ht="14.25" customHeight="1">
      <c r="A683" s="37"/>
    </row>
    <row r="684" ht="14.25" customHeight="1">
      <c r="A684" s="37"/>
    </row>
    <row r="685" ht="14.25" customHeight="1">
      <c r="A685" s="37"/>
    </row>
    <row r="686" ht="14.25" customHeight="1">
      <c r="A686" s="37"/>
    </row>
    <row r="687" ht="14.25" customHeight="1">
      <c r="A687" s="37"/>
    </row>
    <row r="688" ht="14.25" customHeight="1">
      <c r="A688" s="37"/>
    </row>
    <row r="689" ht="14.25" customHeight="1">
      <c r="A689" s="37"/>
    </row>
    <row r="690" ht="14.25" customHeight="1">
      <c r="A690" s="37"/>
    </row>
    <row r="691" ht="14.25" customHeight="1">
      <c r="A691" s="37"/>
    </row>
    <row r="692" ht="14.25" customHeight="1">
      <c r="A692" s="37"/>
    </row>
    <row r="693" ht="14.25" customHeight="1">
      <c r="A693" s="37"/>
    </row>
    <row r="694" ht="14.25" customHeight="1">
      <c r="A694" s="37"/>
    </row>
    <row r="695" ht="14.25" customHeight="1">
      <c r="A695" s="37"/>
    </row>
    <row r="696" ht="14.25" customHeight="1">
      <c r="A696" s="37"/>
    </row>
    <row r="697" ht="14.25" customHeight="1">
      <c r="A697" s="37"/>
    </row>
    <row r="698" ht="14.25" customHeight="1">
      <c r="A698" s="37"/>
    </row>
    <row r="699" ht="14.25" customHeight="1">
      <c r="A699" s="37"/>
    </row>
    <row r="700" ht="14.25" customHeight="1">
      <c r="A700" s="37"/>
    </row>
    <row r="701" ht="14.25" customHeight="1">
      <c r="A701" s="37"/>
    </row>
    <row r="702" ht="14.25" customHeight="1">
      <c r="A702" s="37"/>
    </row>
    <row r="703" ht="14.25" customHeight="1">
      <c r="A703" s="37"/>
    </row>
    <row r="704" ht="14.25" customHeight="1">
      <c r="A704" s="37"/>
    </row>
    <row r="705" ht="14.25" customHeight="1">
      <c r="A705" s="37"/>
    </row>
    <row r="706" ht="14.25" customHeight="1">
      <c r="A706" s="37"/>
    </row>
    <row r="707" ht="14.25" customHeight="1">
      <c r="A707" s="37"/>
    </row>
    <row r="708" ht="14.25" customHeight="1">
      <c r="A708" s="37"/>
    </row>
    <row r="709" ht="14.25" customHeight="1">
      <c r="A709" s="37"/>
    </row>
    <row r="710" ht="14.25" customHeight="1">
      <c r="A710" s="37"/>
    </row>
    <row r="711" ht="14.25" customHeight="1">
      <c r="A711" s="37"/>
    </row>
    <row r="712" ht="14.25" customHeight="1">
      <c r="A712" s="37"/>
    </row>
    <row r="713" ht="14.25" customHeight="1">
      <c r="A713" s="37"/>
    </row>
    <row r="714" ht="14.25" customHeight="1">
      <c r="A714" s="37"/>
    </row>
    <row r="715" ht="14.25" customHeight="1">
      <c r="A715" s="37"/>
    </row>
    <row r="716" ht="14.25" customHeight="1">
      <c r="A716" s="37"/>
    </row>
    <row r="717" ht="14.25" customHeight="1">
      <c r="A717" s="37"/>
    </row>
    <row r="718" ht="14.25" customHeight="1">
      <c r="A718" s="37"/>
    </row>
    <row r="719" ht="14.25" customHeight="1">
      <c r="A719" s="37"/>
    </row>
    <row r="720" ht="14.25" customHeight="1">
      <c r="A720" s="37"/>
    </row>
    <row r="721" ht="14.25" customHeight="1">
      <c r="A721" s="37"/>
    </row>
    <row r="722" ht="14.25" customHeight="1">
      <c r="A722" s="37"/>
    </row>
    <row r="723" ht="14.25" customHeight="1">
      <c r="A723" s="37"/>
    </row>
    <row r="724" ht="14.25" customHeight="1">
      <c r="A724" s="37"/>
    </row>
    <row r="725" ht="14.25" customHeight="1">
      <c r="A725" s="37"/>
    </row>
    <row r="726" ht="14.25" customHeight="1">
      <c r="A726" s="37"/>
    </row>
    <row r="727" ht="14.25" customHeight="1">
      <c r="A727" s="37"/>
    </row>
    <row r="728" ht="14.25" customHeight="1">
      <c r="A728" s="37"/>
    </row>
    <row r="729" ht="14.25" customHeight="1">
      <c r="A729" s="37"/>
    </row>
    <row r="730" ht="14.25" customHeight="1">
      <c r="A730" s="37"/>
    </row>
    <row r="731" ht="14.25" customHeight="1">
      <c r="A731" s="37"/>
    </row>
    <row r="732" ht="14.25" customHeight="1">
      <c r="A732" s="37"/>
    </row>
    <row r="733" ht="14.25" customHeight="1">
      <c r="A733" s="37"/>
    </row>
    <row r="734" ht="14.25" customHeight="1">
      <c r="A734" s="37"/>
    </row>
    <row r="735" ht="14.25" customHeight="1">
      <c r="A735" s="37"/>
    </row>
    <row r="736" ht="14.25" customHeight="1">
      <c r="A736" s="37"/>
    </row>
    <row r="737" ht="14.25" customHeight="1">
      <c r="A737" s="37"/>
    </row>
    <row r="738" ht="14.25" customHeight="1">
      <c r="A738" s="37"/>
    </row>
    <row r="739" ht="14.25" customHeight="1">
      <c r="A739" s="37"/>
    </row>
    <row r="740" ht="14.25" customHeight="1">
      <c r="A740" s="37"/>
    </row>
    <row r="741" ht="14.25" customHeight="1">
      <c r="A741" s="37"/>
    </row>
    <row r="742" ht="14.25" customHeight="1">
      <c r="A742" s="37"/>
    </row>
    <row r="743" ht="14.25" customHeight="1">
      <c r="A743" s="37"/>
    </row>
    <row r="744" ht="14.25" customHeight="1">
      <c r="A744" s="37"/>
    </row>
    <row r="745" ht="14.25" customHeight="1">
      <c r="A745" s="37"/>
    </row>
    <row r="746" ht="14.25" customHeight="1">
      <c r="A746" s="37"/>
    </row>
    <row r="747" ht="14.25" customHeight="1">
      <c r="A747" s="37"/>
    </row>
    <row r="748" ht="14.25" customHeight="1">
      <c r="A748" s="37"/>
    </row>
    <row r="749" ht="14.25" customHeight="1">
      <c r="A749" s="37"/>
    </row>
    <row r="750" ht="14.25" customHeight="1">
      <c r="A750" s="37"/>
    </row>
    <row r="751" ht="14.25" customHeight="1">
      <c r="A751" s="37"/>
    </row>
    <row r="752" ht="14.25" customHeight="1">
      <c r="A752" s="37"/>
    </row>
    <row r="753" ht="14.25" customHeight="1">
      <c r="A753" s="37"/>
    </row>
    <row r="754" ht="14.25" customHeight="1">
      <c r="A754" s="37"/>
    </row>
    <row r="755" ht="14.25" customHeight="1">
      <c r="A755" s="37"/>
    </row>
    <row r="756" ht="14.25" customHeight="1">
      <c r="A756" s="37"/>
    </row>
    <row r="757" ht="14.25" customHeight="1">
      <c r="A757" s="37"/>
    </row>
    <row r="758" ht="14.25" customHeight="1">
      <c r="A758" s="37"/>
    </row>
    <row r="759" ht="14.25" customHeight="1">
      <c r="A759" s="37"/>
    </row>
    <row r="760" ht="14.25" customHeight="1">
      <c r="A760" s="37"/>
    </row>
    <row r="761" ht="14.25" customHeight="1">
      <c r="A761" s="37"/>
    </row>
    <row r="762" ht="14.25" customHeight="1">
      <c r="A762" s="37"/>
    </row>
    <row r="763" ht="14.25" customHeight="1">
      <c r="A763" s="37"/>
    </row>
    <row r="764" ht="14.25" customHeight="1">
      <c r="A764" s="37"/>
    </row>
    <row r="765" ht="14.25" customHeight="1">
      <c r="A765" s="37"/>
    </row>
    <row r="766" ht="14.25" customHeight="1">
      <c r="A766" s="37"/>
    </row>
    <row r="767" ht="14.25" customHeight="1">
      <c r="A767" s="37"/>
    </row>
    <row r="768" ht="14.25" customHeight="1">
      <c r="A768" s="37"/>
    </row>
    <row r="769" ht="14.25" customHeight="1">
      <c r="A769" s="37"/>
    </row>
    <row r="770" ht="14.25" customHeight="1">
      <c r="A770" s="37"/>
    </row>
    <row r="771" ht="14.25" customHeight="1">
      <c r="A771" s="37"/>
    </row>
    <row r="772" ht="14.25" customHeight="1">
      <c r="A772" s="37"/>
    </row>
    <row r="773" ht="14.25" customHeight="1">
      <c r="A773" s="37"/>
    </row>
    <row r="774" ht="14.25" customHeight="1">
      <c r="A774" s="37"/>
    </row>
    <row r="775" ht="14.25" customHeight="1">
      <c r="A775" s="37"/>
    </row>
    <row r="776" ht="14.25" customHeight="1">
      <c r="A776" s="37"/>
    </row>
    <row r="777" ht="14.25" customHeight="1">
      <c r="A777" s="37"/>
    </row>
    <row r="778" ht="14.25" customHeight="1">
      <c r="A778" s="37"/>
    </row>
    <row r="779" ht="14.25" customHeight="1">
      <c r="A779" s="37"/>
    </row>
    <row r="780" ht="14.25" customHeight="1">
      <c r="A780" s="37"/>
    </row>
    <row r="781" ht="14.25" customHeight="1">
      <c r="A781" s="37"/>
    </row>
    <row r="782" ht="14.25" customHeight="1">
      <c r="A782" s="37"/>
    </row>
    <row r="783" ht="14.25" customHeight="1">
      <c r="A783" s="37"/>
    </row>
    <row r="784" ht="14.25" customHeight="1">
      <c r="A784" s="37"/>
    </row>
    <row r="785" ht="14.25" customHeight="1">
      <c r="A785" s="37"/>
    </row>
    <row r="786" ht="14.25" customHeight="1">
      <c r="A786" s="37"/>
    </row>
    <row r="787" ht="14.25" customHeight="1">
      <c r="A787" s="37"/>
    </row>
    <row r="788" ht="14.25" customHeight="1">
      <c r="A788" s="37"/>
    </row>
    <row r="789" ht="14.25" customHeight="1">
      <c r="A789" s="37"/>
    </row>
    <row r="790" ht="14.25" customHeight="1">
      <c r="A790" s="37"/>
    </row>
    <row r="791" ht="14.25" customHeight="1">
      <c r="A791" s="37"/>
    </row>
    <row r="792" ht="14.25" customHeight="1">
      <c r="A792" s="37"/>
    </row>
    <row r="793" ht="14.25" customHeight="1">
      <c r="A793" s="37"/>
    </row>
    <row r="794" ht="14.25" customHeight="1">
      <c r="A794" s="37"/>
    </row>
    <row r="795" ht="14.25" customHeight="1">
      <c r="A795" s="37"/>
    </row>
    <row r="796" ht="14.25" customHeight="1">
      <c r="A796" s="37"/>
    </row>
    <row r="797" ht="14.25" customHeight="1">
      <c r="A797" s="37"/>
    </row>
    <row r="798" ht="14.25" customHeight="1">
      <c r="A798" s="37"/>
    </row>
    <row r="799" ht="14.25" customHeight="1">
      <c r="A799" s="37"/>
    </row>
    <row r="800" ht="14.25" customHeight="1">
      <c r="A800" s="37"/>
    </row>
    <row r="801" ht="14.25" customHeight="1">
      <c r="A801" s="37"/>
    </row>
    <row r="802" ht="14.25" customHeight="1">
      <c r="A802" s="37"/>
    </row>
    <row r="803" ht="14.25" customHeight="1">
      <c r="A803" s="37"/>
    </row>
    <row r="804" ht="14.25" customHeight="1">
      <c r="A804" s="37"/>
    </row>
    <row r="805" ht="14.25" customHeight="1">
      <c r="A805" s="37"/>
    </row>
    <row r="806" ht="14.25" customHeight="1">
      <c r="A806" s="37"/>
    </row>
    <row r="807" ht="14.25" customHeight="1">
      <c r="A807" s="37"/>
    </row>
    <row r="808" ht="14.25" customHeight="1">
      <c r="A808" s="37"/>
    </row>
    <row r="809" ht="14.25" customHeight="1">
      <c r="A809" s="37"/>
    </row>
    <row r="810" ht="14.25" customHeight="1">
      <c r="A810" s="37"/>
    </row>
    <row r="811" ht="14.25" customHeight="1">
      <c r="A811" s="37"/>
    </row>
    <row r="812" ht="14.25" customHeight="1">
      <c r="A812" s="37"/>
    </row>
    <row r="813" ht="14.25" customHeight="1">
      <c r="A813" s="37"/>
    </row>
    <row r="814" ht="14.25" customHeight="1">
      <c r="A814" s="37"/>
    </row>
    <row r="815" ht="14.25" customHeight="1">
      <c r="A815" s="37"/>
    </row>
    <row r="816" ht="14.25" customHeight="1">
      <c r="A816" s="37"/>
    </row>
    <row r="817" ht="14.25" customHeight="1">
      <c r="A817" s="37"/>
    </row>
    <row r="818" ht="14.25" customHeight="1">
      <c r="A818" s="37"/>
    </row>
    <row r="819" ht="14.25" customHeight="1">
      <c r="A819" s="37"/>
    </row>
    <row r="820" ht="14.25" customHeight="1">
      <c r="A820" s="37"/>
    </row>
    <row r="821" ht="14.25" customHeight="1">
      <c r="A821" s="37"/>
    </row>
    <row r="822" ht="14.25" customHeight="1">
      <c r="A822" s="37"/>
    </row>
    <row r="823" ht="14.25" customHeight="1">
      <c r="A823" s="37"/>
    </row>
    <row r="824" ht="14.25" customHeight="1">
      <c r="A824" s="37"/>
    </row>
    <row r="825" ht="14.25" customHeight="1">
      <c r="A825" s="37"/>
    </row>
    <row r="826" ht="14.25" customHeight="1">
      <c r="A826" s="37"/>
    </row>
    <row r="827" ht="14.25" customHeight="1">
      <c r="A827" s="37"/>
    </row>
    <row r="828" ht="14.25" customHeight="1">
      <c r="A828" s="37"/>
    </row>
    <row r="829" ht="14.25" customHeight="1">
      <c r="A829" s="37"/>
    </row>
    <row r="830" ht="14.25" customHeight="1">
      <c r="A830" s="37"/>
    </row>
    <row r="831" ht="14.25" customHeight="1">
      <c r="A831" s="37"/>
    </row>
    <row r="832" ht="14.25" customHeight="1">
      <c r="A832" s="37"/>
    </row>
    <row r="833" ht="14.25" customHeight="1">
      <c r="A833" s="37"/>
    </row>
    <row r="834" ht="14.25" customHeight="1">
      <c r="A834" s="37"/>
    </row>
    <row r="835" ht="14.25" customHeight="1">
      <c r="A835" s="37"/>
    </row>
    <row r="836" ht="14.25" customHeight="1">
      <c r="A836" s="37"/>
    </row>
    <row r="837" ht="14.25" customHeight="1">
      <c r="A837" s="37"/>
    </row>
    <row r="838" ht="14.25" customHeight="1">
      <c r="A838" s="37"/>
    </row>
    <row r="839" ht="14.25" customHeight="1">
      <c r="A839" s="37"/>
    </row>
    <row r="840" ht="14.25" customHeight="1">
      <c r="A840" s="37"/>
    </row>
    <row r="841" ht="14.25" customHeight="1">
      <c r="A841" s="37"/>
    </row>
    <row r="842" ht="14.25" customHeight="1">
      <c r="A842" s="37"/>
    </row>
    <row r="843" ht="14.25" customHeight="1">
      <c r="A843" s="37"/>
    </row>
    <row r="844" ht="14.25" customHeight="1">
      <c r="A844" s="37"/>
    </row>
    <row r="845" ht="14.25" customHeight="1">
      <c r="A845" s="37"/>
    </row>
    <row r="846" ht="14.25" customHeight="1">
      <c r="A846" s="37"/>
    </row>
    <row r="847" ht="14.25" customHeight="1">
      <c r="A847" s="37"/>
    </row>
    <row r="848" ht="14.25" customHeight="1">
      <c r="A848" s="37"/>
    </row>
    <row r="849" ht="14.25" customHeight="1">
      <c r="A849" s="37"/>
    </row>
    <row r="850" ht="14.25" customHeight="1">
      <c r="A850" s="37"/>
    </row>
    <row r="851" ht="14.25" customHeight="1">
      <c r="A851" s="37"/>
    </row>
    <row r="852" ht="14.25" customHeight="1">
      <c r="A852" s="37"/>
    </row>
    <row r="853" ht="14.25" customHeight="1">
      <c r="A853" s="37"/>
    </row>
    <row r="854" ht="14.25" customHeight="1">
      <c r="A854" s="37"/>
    </row>
    <row r="855" ht="14.25" customHeight="1">
      <c r="A855" s="37"/>
    </row>
    <row r="856" ht="14.25" customHeight="1">
      <c r="A856" s="37"/>
    </row>
    <row r="857" ht="14.25" customHeight="1">
      <c r="A857" s="37"/>
    </row>
    <row r="858" ht="14.25" customHeight="1">
      <c r="A858" s="37"/>
    </row>
    <row r="859" ht="14.25" customHeight="1">
      <c r="A859" s="37"/>
    </row>
    <row r="860" ht="14.25" customHeight="1">
      <c r="A860" s="37"/>
    </row>
    <row r="861" ht="14.25" customHeight="1">
      <c r="A861" s="37"/>
    </row>
    <row r="862" ht="14.25" customHeight="1">
      <c r="A862" s="37"/>
    </row>
    <row r="863" ht="14.25" customHeight="1">
      <c r="A863" s="37"/>
    </row>
    <row r="864" ht="14.25" customHeight="1">
      <c r="A864" s="37"/>
    </row>
    <row r="865" ht="14.25" customHeight="1">
      <c r="A865" s="37"/>
    </row>
    <row r="866" ht="14.25" customHeight="1">
      <c r="A866" s="37"/>
    </row>
    <row r="867" ht="14.25" customHeight="1">
      <c r="A867" s="37"/>
    </row>
    <row r="868" ht="14.25" customHeight="1">
      <c r="A868" s="37"/>
    </row>
    <row r="869" ht="14.25" customHeight="1">
      <c r="A869" s="37"/>
    </row>
    <row r="870" ht="14.25" customHeight="1">
      <c r="A870" s="37"/>
    </row>
    <row r="871" ht="14.25" customHeight="1">
      <c r="A871" s="37"/>
    </row>
    <row r="872" ht="14.25" customHeight="1">
      <c r="A872" s="37"/>
    </row>
    <row r="873" ht="14.25" customHeight="1">
      <c r="A873" s="37"/>
    </row>
    <row r="874" ht="14.25" customHeight="1">
      <c r="A874" s="37"/>
    </row>
    <row r="875" ht="14.25" customHeight="1">
      <c r="A875" s="37"/>
    </row>
    <row r="876" ht="14.25" customHeight="1">
      <c r="A876" s="37"/>
    </row>
    <row r="877" ht="14.25" customHeight="1">
      <c r="A877" s="37"/>
    </row>
    <row r="878" ht="14.25" customHeight="1">
      <c r="A878" s="37"/>
    </row>
    <row r="879" ht="14.25" customHeight="1">
      <c r="A879" s="37"/>
    </row>
    <row r="880" ht="14.25" customHeight="1">
      <c r="A880" s="37"/>
    </row>
    <row r="881" ht="14.25" customHeight="1">
      <c r="A881" s="37"/>
    </row>
    <row r="882" ht="14.25" customHeight="1">
      <c r="A882" s="37"/>
    </row>
    <row r="883" ht="14.25" customHeight="1">
      <c r="A883" s="37"/>
    </row>
    <row r="884" ht="14.25" customHeight="1">
      <c r="A884" s="37"/>
    </row>
    <row r="885" ht="14.25" customHeight="1">
      <c r="A885" s="37"/>
    </row>
    <row r="886" ht="14.25" customHeight="1">
      <c r="A886" s="37"/>
    </row>
    <row r="887" ht="14.25" customHeight="1">
      <c r="A887" s="37"/>
    </row>
    <row r="888" ht="14.25" customHeight="1">
      <c r="A888" s="37"/>
    </row>
    <row r="889" ht="14.25" customHeight="1">
      <c r="A889" s="37"/>
    </row>
    <row r="890" ht="14.25" customHeight="1">
      <c r="A890" s="37"/>
    </row>
    <row r="891" ht="14.25" customHeight="1">
      <c r="A891" s="37"/>
    </row>
    <row r="892" ht="14.25" customHeight="1">
      <c r="A892" s="37"/>
    </row>
    <row r="893" ht="14.25" customHeight="1">
      <c r="A893" s="37"/>
    </row>
    <row r="894" ht="14.25" customHeight="1">
      <c r="A894" s="37"/>
    </row>
    <row r="895" ht="14.25" customHeight="1">
      <c r="A895" s="37"/>
    </row>
    <row r="896" ht="14.25" customHeight="1">
      <c r="A896" s="37"/>
    </row>
    <row r="897" ht="14.25" customHeight="1">
      <c r="A897" s="37"/>
    </row>
    <row r="898" ht="14.25" customHeight="1">
      <c r="A898" s="37"/>
    </row>
    <row r="899" ht="14.25" customHeight="1">
      <c r="A899" s="37"/>
    </row>
    <row r="900" ht="14.25" customHeight="1">
      <c r="A900" s="37"/>
    </row>
    <row r="901" ht="14.25" customHeight="1">
      <c r="A901" s="37"/>
    </row>
    <row r="902" ht="14.25" customHeight="1">
      <c r="A902" s="37"/>
    </row>
    <row r="903" ht="14.25" customHeight="1">
      <c r="A903" s="37"/>
    </row>
    <row r="904" ht="14.25" customHeight="1">
      <c r="A904" s="37"/>
    </row>
    <row r="905" ht="14.25" customHeight="1">
      <c r="A905" s="37"/>
    </row>
    <row r="906" ht="14.25" customHeight="1">
      <c r="A906" s="37"/>
    </row>
    <row r="907" ht="14.25" customHeight="1">
      <c r="A907" s="37"/>
    </row>
    <row r="908" ht="14.25" customHeight="1">
      <c r="A908" s="37"/>
    </row>
    <row r="909" ht="14.25" customHeight="1">
      <c r="A909" s="37"/>
    </row>
    <row r="910" ht="14.25" customHeight="1">
      <c r="A910" s="37"/>
    </row>
    <row r="911" ht="14.25" customHeight="1">
      <c r="A911" s="37"/>
    </row>
    <row r="912" ht="14.25" customHeight="1">
      <c r="A912" s="37"/>
    </row>
    <row r="913" ht="14.25" customHeight="1">
      <c r="A913" s="37"/>
    </row>
    <row r="914" ht="14.25" customHeight="1">
      <c r="A914" s="37"/>
    </row>
    <row r="915" ht="14.25" customHeight="1">
      <c r="A915" s="37"/>
    </row>
    <row r="916" ht="14.25" customHeight="1">
      <c r="A916" s="37"/>
    </row>
    <row r="917" ht="14.25" customHeight="1">
      <c r="A917" s="37"/>
    </row>
    <row r="918" ht="14.25" customHeight="1">
      <c r="A918" s="37"/>
    </row>
    <row r="919" ht="14.25" customHeight="1">
      <c r="A919" s="37"/>
    </row>
    <row r="920" ht="14.25" customHeight="1">
      <c r="A920" s="37"/>
    </row>
    <row r="921" ht="14.25" customHeight="1">
      <c r="A921" s="37"/>
    </row>
    <row r="922" ht="14.25" customHeight="1">
      <c r="A922" s="37"/>
    </row>
    <row r="923" ht="14.25" customHeight="1">
      <c r="A923" s="37"/>
    </row>
    <row r="924" ht="14.25" customHeight="1">
      <c r="A924" s="37"/>
    </row>
    <row r="925" ht="14.25" customHeight="1">
      <c r="A925" s="37"/>
    </row>
    <row r="926" ht="14.25" customHeight="1">
      <c r="A926" s="37"/>
    </row>
    <row r="927" ht="14.25" customHeight="1">
      <c r="A927" s="37"/>
    </row>
    <row r="928" ht="14.25" customHeight="1">
      <c r="A928" s="37"/>
    </row>
    <row r="929" ht="14.25" customHeight="1">
      <c r="A929" s="37"/>
    </row>
    <row r="930" ht="14.25" customHeight="1">
      <c r="A930" s="37"/>
    </row>
    <row r="931" ht="14.25" customHeight="1">
      <c r="A931" s="37"/>
    </row>
    <row r="932" ht="14.25" customHeight="1">
      <c r="A932" s="37"/>
    </row>
    <row r="933" ht="14.25" customHeight="1">
      <c r="A933" s="37"/>
    </row>
    <row r="934" ht="14.25" customHeight="1">
      <c r="A934" s="37"/>
    </row>
    <row r="935" ht="14.25" customHeight="1">
      <c r="A935" s="37"/>
    </row>
    <row r="936" ht="14.25" customHeight="1">
      <c r="A936" s="37"/>
    </row>
    <row r="937" ht="14.25" customHeight="1">
      <c r="A937" s="37"/>
    </row>
    <row r="938" ht="14.25" customHeight="1">
      <c r="A938" s="37"/>
    </row>
    <row r="939" ht="14.25" customHeight="1">
      <c r="A939" s="37"/>
    </row>
    <row r="940" ht="14.25" customHeight="1">
      <c r="A940" s="37"/>
    </row>
    <row r="941" ht="14.25" customHeight="1">
      <c r="A941" s="37"/>
    </row>
    <row r="942" ht="14.25" customHeight="1">
      <c r="A942" s="37"/>
    </row>
    <row r="943" ht="14.25" customHeight="1">
      <c r="A943" s="37"/>
    </row>
    <row r="944" ht="14.25" customHeight="1">
      <c r="A944" s="37"/>
    </row>
    <row r="945" ht="14.25" customHeight="1">
      <c r="A945" s="37"/>
    </row>
    <row r="946" ht="14.25" customHeight="1">
      <c r="A946" s="37"/>
    </row>
    <row r="947" ht="14.25" customHeight="1">
      <c r="A947" s="37"/>
    </row>
    <row r="948" ht="14.25" customHeight="1">
      <c r="A948" s="37"/>
    </row>
    <row r="949" ht="14.25" customHeight="1">
      <c r="A949" s="37"/>
    </row>
    <row r="950" ht="14.25" customHeight="1">
      <c r="A950" s="37"/>
    </row>
    <row r="951" ht="14.25" customHeight="1">
      <c r="A951" s="37"/>
    </row>
    <row r="952" ht="14.25" customHeight="1">
      <c r="A952" s="37"/>
    </row>
    <row r="953" ht="14.25" customHeight="1">
      <c r="A953" s="37"/>
    </row>
    <row r="954" ht="14.25" customHeight="1">
      <c r="A954" s="37"/>
    </row>
    <row r="955" ht="14.25" customHeight="1">
      <c r="A955" s="37"/>
    </row>
    <row r="956" ht="14.25" customHeight="1">
      <c r="A956" s="37"/>
    </row>
    <row r="957" ht="14.25" customHeight="1">
      <c r="A957" s="37"/>
    </row>
    <row r="958" ht="14.25" customHeight="1">
      <c r="A958" s="37"/>
    </row>
    <row r="959" ht="14.25" customHeight="1">
      <c r="A959" s="37"/>
    </row>
    <row r="960" ht="14.25" customHeight="1">
      <c r="A960" s="37"/>
    </row>
    <row r="961" ht="14.25" customHeight="1">
      <c r="A961" s="37"/>
    </row>
    <row r="962" ht="14.25" customHeight="1">
      <c r="A962" s="37"/>
    </row>
    <row r="963" ht="14.25" customHeight="1">
      <c r="A963" s="37"/>
    </row>
    <row r="964" ht="14.25" customHeight="1">
      <c r="A964" s="37"/>
    </row>
    <row r="965" ht="14.25" customHeight="1">
      <c r="A965" s="37"/>
    </row>
    <row r="966" ht="14.25" customHeight="1">
      <c r="A966" s="37"/>
    </row>
    <row r="967" ht="14.25" customHeight="1">
      <c r="A967" s="37"/>
    </row>
    <row r="968" ht="14.25" customHeight="1">
      <c r="A968" s="37"/>
    </row>
    <row r="969" ht="14.25" customHeight="1">
      <c r="A969" s="37"/>
    </row>
    <row r="970" ht="14.25" customHeight="1">
      <c r="A970" s="37"/>
    </row>
    <row r="971" ht="14.25" customHeight="1">
      <c r="A971" s="37"/>
    </row>
    <row r="972" ht="14.25" customHeight="1">
      <c r="A972" s="37"/>
    </row>
    <row r="973" ht="14.25" customHeight="1">
      <c r="A973" s="37"/>
    </row>
    <row r="974" ht="14.25" customHeight="1">
      <c r="A974" s="37"/>
    </row>
    <row r="975" ht="14.25" customHeight="1">
      <c r="A975" s="37"/>
    </row>
    <row r="976" ht="14.25" customHeight="1">
      <c r="A976" s="37"/>
    </row>
    <row r="977" ht="14.25" customHeight="1">
      <c r="A977" s="37"/>
    </row>
    <row r="978" ht="14.25" customHeight="1">
      <c r="A978" s="37"/>
    </row>
    <row r="979" ht="14.25" customHeight="1">
      <c r="A979" s="37"/>
    </row>
    <row r="980" ht="14.25" customHeight="1">
      <c r="A980" s="37"/>
    </row>
    <row r="981" ht="14.25" customHeight="1">
      <c r="A981" s="37"/>
    </row>
    <row r="982" ht="14.25" customHeight="1">
      <c r="A982" s="37"/>
    </row>
    <row r="983" ht="14.25" customHeight="1">
      <c r="A983" s="37"/>
    </row>
    <row r="984" ht="14.25" customHeight="1">
      <c r="A984" s="37"/>
    </row>
    <row r="985" ht="14.25" customHeight="1">
      <c r="A985" s="37"/>
    </row>
    <row r="986" ht="14.25" customHeight="1">
      <c r="A986" s="37"/>
    </row>
    <row r="987" ht="14.25" customHeight="1">
      <c r="A987" s="37"/>
    </row>
    <row r="988" ht="14.25" customHeight="1">
      <c r="A988" s="37"/>
    </row>
    <row r="989" ht="14.25" customHeight="1">
      <c r="A989" s="37"/>
    </row>
    <row r="990" ht="14.25" customHeight="1">
      <c r="A990" s="37"/>
    </row>
    <row r="991" ht="14.25" customHeight="1">
      <c r="A991" s="37"/>
    </row>
    <row r="992" ht="14.25" customHeight="1">
      <c r="A992" s="37"/>
    </row>
    <row r="993" ht="14.25" customHeight="1">
      <c r="A993" s="37"/>
    </row>
    <row r="994" ht="14.25" customHeight="1">
      <c r="A994" s="37"/>
    </row>
    <row r="995" ht="14.25" customHeight="1">
      <c r="A995" s="37"/>
    </row>
    <row r="996" ht="14.25" customHeight="1">
      <c r="A996" s="37"/>
    </row>
    <row r="997" ht="14.25" customHeight="1">
      <c r="A997" s="37"/>
    </row>
    <row r="998" ht="14.25" customHeight="1">
      <c r="A998" s="37"/>
    </row>
    <row r="999" ht="14.25" customHeight="1">
      <c r="A999" s="37"/>
    </row>
    <row r="1000" ht="14.25" customHeight="1">
      <c r="A1000" s="3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3.75"/>
    <col customWidth="1" min="3" max="3" width="16.63"/>
    <col customWidth="1" min="4" max="5" width="16.13"/>
    <col customWidth="1" min="6" max="6" width="14.5"/>
    <col customWidth="1" min="7" max="7" width="15.0"/>
    <col customWidth="1" min="8" max="8" width="13.0"/>
    <col customWidth="1" min="9" max="9" width="15.38"/>
    <col customWidth="1" min="10" max="10" width="14.75"/>
    <col customWidth="1" min="11" max="11" width="6.88"/>
    <col customWidth="1" min="12" max="12" width="9.75"/>
    <col customWidth="1" min="13" max="13" width="14.38"/>
    <col customWidth="1" min="14" max="15" width="8.25"/>
    <col customWidth="1" min="16" max="16" width="7.13"/>
    <col customWidth="1" min="17" max="17" width="13.25"/>
    <col customWidth="1" min="18" max="18" width="4.38"/>
    <col customWidth="1" min="19" max="19" width="5.13"/>
    <col customWidth="1" min="20" max="20" width="7.75"/>
    <col customWidth="1" min="21" max="21" width="6.88"/>
    <col customWidth="1" min="22" max="22" width="9.75"/>
    <col customWidth="1" min="23" max="23" width="14.38"/>
    <col customWidth="1" min="24" max="25" width="8.25"/>
    <col customWidth="1" min="26" max="26" width="7.13"/>
    <col customWidth="1" min="27" max="27" width="13.5"/>
    <col customWidth="1" min="28" max="28" width="4.38"/>
    <col customWidth="1" min="29" max="29" width="5.13"/>
    <col customWidth="1" min="30" max="33" width="7.75"/>
  </cols>
  <sheetData>
    <row r="1" ht="14.25" customHeight="1">
      <c r="A1" s="1" t="s">
        <v>35</v>
      </c>
    </row>
    <row r="2" ht="14.25" customHeight="1">
      <c r="A2" s="52"/>
    </row>
    <row r="3" ht="14.25" customHeight="1">
      <c r="A3" s="53" t="s">
        <v>36</v>
      </c>
      <c r="E3" s="54"/>
      <c r="K3" s="53" t="s">
        <v>37</v>
      </c>
      <c r="U3" s="53" t="s">
        <v>38</v>
      </c>
    </row>
    <row r="4" ht="14.25" customHeight="1">
      <c r="A4" s="38" t="s">
        <v>16</v>
      </c>
      <c r="B4" s="38" t="s">
        <v>2</v>
      </c>
      <c r="C4" s="38" t="s">
        <v>3</v>
      </c>
      <c r="D4" s="38" t="s">
        <v>4</v>
      </c>
      <c r="E4" s="55" t="s">
        <v>5</v>
      </c>
      <c r="F4" s="39"/>
      <c r="G4" s="39"/>
      <c r="H4" s="39"/>
      <c r="I4" s="39"/>
      <c r="J4" s="39"/>
      <c r="K4" s="38" t="s">
        <v>16</v>
      </c>
      <c r="L4" s="38" t="s">
        <v>2</v>
      </c>
      <c r="M4" s="38" t="s">
        <v>3</v>
      </c>
      <c r="N4" s="38" t="s">
        <v>4</v>
      </c>
      <c r="O4" s="38" t="s">
        <v>5</v>
      </c>
      <c r="P4" s="39"/>
      <c r="Q4" s="39"/>
      <c r="R4" s="39"/>
      <c r="S4" s="39"/>
      <c r="T4" s="39"/>
      <c r="U4" s="38" t="s">
        <v>16</v>
      </c>
      <c r="V4" s="38" t="s">
        <v>2</v>
      </c>
      <c r="W4" s="38" t="s">
        <v>3</v>
      </c>
      <c r="X4" s="38" t="s">
        <v>4</v>
      </c>
      <c r="Y4" s="38" t="s">
        <v>5</v>
      </c>
      <c r="Z4" s="39"/>
      <c r="AA4" s="39"/>
      <c r="AB4" s="39"/>
      <c r="AC4" s="39"/>
      <c r="AD4" s="39"/>
      <c r="AE4" s="39"/>
      <c r="AF4" s="39"/>
      <c r="AG4" s="39"/>
    </row>
    <row r="5" ht="14.25" customHeight="1">
      <c r="A5" s="41" t="s">
        <v>19</v>
      </c>
      <c r="B5" s="12">
        <v>2842.0</v>
      </c>
      <c r="C5" s="12">
        <v>3593.0</v>
      </c>
      <c r="D5" s="12">
        <v>1.8866045E7</v>
      </c>
      <c r="E5" s="56">
        <v>9389215.0</v>
      </c>
      <c r="K5" s="3"/>
      <c r="L5" s="12"/>
      <c r="M5" s="12"/>
      <c r="N5" s="12">
        <v>0.0</v>
      </c>
      <c r="O5" s="12">
        <v>0.0</v>
      </c>
      <c r="U5" s="3"/>
      <c r="V5" s="12"/>
      <c r="W5" s="12"/>
      <c r="X5" s="12">
        <v>0.0</v>
      </c>
      <c r="Y5" s="12">
        <v>0.0</v>
      </c>
    </row>
    <row r="6" ht="14.25" customHeight="1">
      <c r="A6" s="41" t="s">
        <v>20</v>
      </c>
      <c r="B6" s="12">
        <v>529.0</v>
      </c>
      <c r="C6" s="12">
        <v>818.0</v>
      </c>
      <c r="D6" s="12">
        <v>4377010.0</v>
      </c>
      <c r="E6" s="56">
        <v>2173325.0</v>
      </c>
      <c r="K6" s="41" t="s">
        <v>20</v>
      </c>
      <c r="L6" s="12">
        <v>6161.0</v>
      </c>
      <c r="M6" s="12">
        <v>7980.0</v>
      </c>
      <c r="N6" s="12">
        <v>5.0815985E7</v>
      </c>
      <c r="O6" s="12">
        <v>2.616405E7</v>
      </c>
      <c r="U6" s="3"/>
      <c r="V6" s="12"/>
      <c r="W6" s="12"/>
      <c r="X6" s="12">
        <v>0.0</v>
      </c>
      <c r="Y6" s="12">
        <v>0.0</v>
      </c>
    </row>
    <row r="7" ht="14.25" customHeight="1">
      <c r="A7" s="41" t="s">
        <v>21</v>
      </c>
      <c r="B7" s="12">
        <v>237.0</v>
      </c>
      <c r="C7" s="12">
        <v>325.0</v>
      </c>
      <c r="D7" s="12">
        <v>1908940.0</v>
      </c>
      <c r="E7" s="56">
        <v>942755.0</v>
      </c>
      <c r="K7" s="41" t="s">
        <v>21</v>
      </c>
      <c r="L7" s="12">
        <v>619.0</v>
      </c>
      <c r="M7" s="12">
        <v>939.0</v>
      </c>
      <c r="N7" s="12">
        <v>5396435.0</v>
      </c>
      <c r="O7" s="12">
        <v>2596110.0</v>
      </c>
      <c r="U7" s="3"/>
      <c r="V7" s="12"/>
      <c r="W7" s="12"/>
      <c r="X7" s="12">
        <v>0.0</v>
      </c>
      <c r="Y7" s="12">
        <v>0.0</v>
      </c>
    </row>
    <row r="8" ht="14.25" customHeight="1">
      <c r="A8" s="41" t="s">
        <v>22</v>
      </c>
      <c r="B8" s="12">
        <v>318.0</v>
      </c>
      <c r="C8" s="12">
        <v>467.0</v>
      </c>
      <c r="D8" s="12">
        <v>2357300.0</v>
      </c>
      <c r="E8" s="56">
        <v>1154450.0</v>
      </c>
      <c r="K8" s="41" t="s">
        <v>22</v>
      </c>
      <c r="L8" s="12">
        <v>546.0</v>
      </c>
      <c r="M8" s="12">
        <v>855.0</v>
      </c>
      <c r="N8" s="12">
        <v>4014505.0</v>
      </c>
      <c r="O8" s="12">
        <v>1990010.0</v>
      </c>
      <c r="U8" s="3"/>
      <c r="V8" s="12"/>
      <c r="W8" s="12"/>
      <c r="X8" s="12">
        <v>0.0</v>
      </c>
      <c r="Y8" s="12">
        <v>0.0</v>
      </c>
    </row>
    <row r="9" ht="14.25" customHeight="1">
      <c r="A9" s="41" t="s">
        <v>23</v>
      </c>
      <c r="B9" s="12">
        <v>317.0</v>
      </c>
      <c r="C9" s="12">
        <v>468.0</v>
      </c>
      <c r="D9" s="12">
        <v>2213530.0</v>
      </c>
      <c r="E9" s="56">
        <v>1063370.0</v>
      </c>
      <c r="K9" s="41" t="s">
        <v>23</v>
      </c>
      <c r="L9" s="12">
        <v>451.0</v>
      </c>
      <c r="M9" s="12">
        <v>696.0</v>
      </c>
      <c r="N9" s="12">
        <v>3515930.0</v>
      </c>
      <c r="O9" s="12">
        <v>1742015.0</v>
      </c>
      <c r="U9" s="3"/>
      <c r="V9" s="12"/>
      <c r="W9" s="12"/>
      <c r="X9" s="12">
        <v>0.0</v>
      </c>
      <c r="Y9" s="12">
        <v>0.0</v>
      </c>
    </row>
    <row r="10" ht="14.25" customHeight="1">
      <c r="A10" s="41" t="s">
        <v>24</v>
      </c>
      <c r="B10" s="12">
        <v>366.0</v>
      </c>
      <c r="C10" s="12">
        <v>615.0</v>
      </c>
      <c r="D10" s="12">
        <v>3017685.0</v>
      </c>
      <c r="E10" s="56">
        <v>1435610.0</v>
      </c>
      <c r="K10" s="41" t="s">
        <v>24</v>
      </c>
      <c r="L10" s="12">
        <v>939.0</v>
      </c>
      <c r="M10" s="12">
        <v>1579.0</v>
      </c>
      <c r="N10" s="12">
        <v>8754185.0</v>
      </c>
      <c r="O10" s="12">
        <v>4264700.0</v>
      </c>
      <c r="U10" s="41" t="s">
        <v>24</v>
      </c>
      <c r="V10" s="12">
        <v>5881.0</v>
      </c>
      <c r="W10" s="12">
        <v>7651.0</v>
      </c>
      <c r="X10" s="12">
        <v>4.608989E7</v>
      </c>
      <c r="Y10" s="12">
        <v>2.257783E7</v>
      </c>
    </row>
    <row r="11" ht="14.25" customHeight="1">
      <c r="A11" s="41" t="s">
        <v>25</v>
      </c>
      <c r="B11" s="12">
        <v>234.0</v>
      </c>
      <c r="C11" s="12">
        <v>339.0</v>
      </c>
      <c r="D11" s="12">
        <v>1575365.0</v>
      </c>
      <c r="E11" s="56">
        <v>740795.0</v>
      </c>
      <c r="K11" s="41" t="s">
        <v>25</v>
      </c>
      <c r="L11" s="12">
        <v>418.0</v>
      </c>
      <c r="M11" s="12">
        <v>687.0</v>
      </c>
      <c r="N11" s="12">
        <v>3430020.0</v>
      </c>
      <c r="O11" s="12">
        <v>1596375.0</v>
      </c>
      <c r="U11" s="41" t="s">
        <v>25</v>
      </c>
      <c r="V11" s="12">
        <v>690.0</v>
      </c>
      <c r="W11" s="12">
        <v>1011.0</v>
      </c>
      <c r="X11" s="12">
        <v>5531845.0</v>
      </c>
      <c r="Y11" s="12">
        <v>2540340.0</v>
      </c>
    </row>
    <row r="12" ht="14.25" customHeight="1">
      <c r="A12" s="41" t="s">
        <v>26</v>
      </c>
      <c r="B12" s="12">
        <v>254.0</v>
      </c>
      <c r="C12" s="12">
        <v>408.0</v>
      </c>
      <c r="D12" s="12">
        <v>1804770.0</v>
      </c>
      <c r="E12" s="56">
        <v>868560.0</v>
      </c>
      <c r="K12" s="41" t="s">
        <v>26</v>
      </c>
      <c r="L12" s="12">
        <v>442.0</v>
      </c>
      <c r="M12" s="12">
        <v>738.0</v>
      </c>
      <c r="N12" s="12">
        <v>3375460.0</v>
      </c>
      <c r="O12" s="12">
        <v>1614635.0</v>
      </c>
      <c r="U12" s="41" t="s">
        <v>26</v>
      </c>
      <c r="V12" s="12">
        <v>473.0</v>
      </c>
      <c r="W12" s="12">
        <v>675.0</v>
      </c>
      <c r="X12" s="12">
        <v>3571370.0</v>
      </c>
      <c r="Y12" s="12">
        <v>1677170.0</v>
      </c>
    </row>
    <row r="13" ht="14.25" customHeight="1">
      <c r="A13" s="41" t="s">
        <v>27</v>
      </c>
      <c r="B13" s="12">
        <v>269.0</v>
      </c>
      <c r="C13" s="12">
        <v>385.0</v>
      </c>
      <c r="D13" s="12">
        <v>1582735.0</v>
      </c>
      <c r="E13" s="56">
        <v>742940.0</v>
      </c>
      <c r="K13" s="41" t="s">
        <v>27</v>
      </c>
      <c r="L13" s="12">
        <v>430.0</v>
      </c>
      <c r="M13" s="12">
        <v>731.0</v>
      </c>
      <c r="N13" s="12">
        <v>3476385.0</v>
      </c>
      <c r="O13" s="12">
        <v>1640210.0</v>
      </c>
      <c r="U13" s="41" t="s">
        <v>27</v>
      </c>
      <c r="V13" s="12">
        <v>420.0</v>
      </c>
      <c r="W13" s="12">
        <v>601.0</v>
      </c>
      <c r="X13" s="12">
        <v>2838000.0</v>
      </c>
      <c r="Y13" s="12">
        <v>1371040.0</v>
      </c>
    </row>
    <row r="14" ht="14.25" customHeight="1">
      <c r="A14" s="41" t="s">
        <v>28</v>
      </c>
      <c r="B14" s="12">
        <v>358.0</v>
      </c>
      <c r="C14" s="12">
        <v>625.0</v>
      </c>
      <c r="D14" s="12">
        <v>3222065.0</v>
      </c>
      <c r="E14" s="56">
        <v>1519155.0</v>
      </c>
      <c r="K14" s="41" t="s">
        <v>28</v>
      </c>
      <c r="L14" s="12">
        <v>885.0</v>
      </c>
      <c r="M14" s="12">
        <v>1542.0</v>
      </c>
      <c r="N14" s="12">
        <v>8510590.0</v>
      </c>
      <c r="O14" s="12">
        <v>4095850.0</v>
      </c>
      <c r="U14" s="41" t="s">
        <v>28</v>
      </c>
      <c r="V14" s="12">
        <v>999.0</v>
      </c>
      <c r="W14" s="12">
        <v>1660.0</v>
      </c>
      <c r="X14" s="12">
        <v>8927160.0</v>
      </c>
      <c r="Y14" s="12">
        <v>4306665.0</v>
      </c>
    </row>
    <row r="15" ht="14.25" customHeight="1">
      <c r="A15" s="41" t="s">
        <v>29</v>
      </c>
      <c r="B15" s="12">
        <v>220.0</v>
      </c>
      <c r="C15" s="12">
        <v>323.0</v>
      </c>
      <c r="D15" s="12">
        <v>1638945.0</v>
      </c>
      <c r="E15" s="56">
        <v>766755.0</v>
      </c>
      <c r="K15" s="41" t="s">
        <v>29</v>
      </c>
      <c r="L15" s="12">
        <v>381.0</v>
      </c>
      <c r="M15" s="12">
        <v>625.0</v>
      </c>
      <c r="N15" s="12">
        <v>3439535.0</v>
      </c>
      <c r="O15" s="12">
        <v>1651705.0</v>
      </c>
      <c r="U15" s="41" t="s">
        <v>29</v>
      </c>
      <c r="V15" s="12">
        <v>387.0</v>
      </c>
      <c r="W15" s="12">
        <v>562.0</v>
      </c>
      <c r="X15" s="12">
        <v>3135275.0</v>
      </c>
      <c r="Y15" s="12">
        <v>1509805.0</v>
      </c>
    </row>
    <row r="16" ht="14.25" customHeight="1">
      <c r="A16" s="41" t="s">
        <v>30</v>
      </c>
      <c r="B16" s="12">
        <v>224.0</v>
      </c>
      <c r="C16" s="12">
        <v>338.0</v>
      </c>
      <c r="D16" s="12">
        <v>1742675.0</v>
      </c>
      <c r="E16" s="56">
        <v>828905.0</v>
      </c>
      <c r="K16" s="41" t="s">
        <v>30</v>
      </c>
      <c r="L16" s="12">
        <v>384.0</v>
      </c>
      <c r="M16" s="12">
        <v>654.0</v>
      </c>
      <c r="N16" s="12">
        <v>3467475.0</v>
      </c>
      <c r="O16" s="12">
        <v>1650495.0</v>
      </c>
      <c r="U16" s="41" t="s">
        <v>30</v>
      </c>
      <c r="V16" s="12">
        <v>343.0</v>
      </c>
      <c r="W16" s="12">
        <v>522.0</v>
      </c>
      <c r="X16" s="12">
        <v>2546775.0</v>
      </c>
      <c r="Y16" s="12">
        <v>1241075.0</v>
      </c>
    </row>
    <row r="17" ht="14.25" customHeight="1">
      <c r="A17" s="41" t="s">
        <v>31</v>
      </c>
      <c r="B17" s="12">
        <v>230.0</v>
      </c>
      <c r="C17" s="12">
        <v>349.0</v>
      </c>
      <c r="D17" s="12">
        <v>1446720.0</v>
      </c>
      <c r="E17" s="56">
        <v>692780.0</v>
      </c>
      <c r="K17" s="41" t="s">
        <v>31</v>
      </c>
      <c r="L17" s="12">
        <v>351.0</v>
      </c>
      <c r="M17" s="12">
        <v>561.0</v>
      </c>
      <c r="N17" s="12">
        <v>2413840.0</v>
      </c>
      <c r="O17" s="12">
        <v>1158025.0</v>
      </c>
      <c r="U17" s="41" t="s">
        <v>31</v>
      </c>
      <c r="V17" s="12">
        <v>356.0</v>
      </c>
      <c r="W17" s="12">
        <v>518.0</v>
      </c>
      <c r="X17" s="12">
        <v>2251975.0</v>
      </c>
      <c r="Y17" s="12">
        <v>1074480.0</v>
      </c>
    </row>
    <row r="18" ht="14.25" customHeight="1">
      <c r="A18" s="42" t="s">
        <v>32</v>
      </c>
      <c r="B18" s="14">
        <v>311.0</v>
      </c>
      <c r="C18" s="14">
        <v>523.0</v>
      </c>
      <c r="D18" s="14">
        <v>2693735.0</v>
      </c>
      <c r="E18" s="57">
        <v>1293325.0</v>
      </c>
      <c r="K18" s="42" t="s">
        <v>32</v>
      </c>
      <c r="L18" s="14">
        <v>743.0</v>
      </c>
      <c r="M18" s="14">
        <v>1364.0</v>
      </c>
      <c r="N18" s="14">
        <v>7542645.0</v>
      </c>
      <c r="O18" s="14">
        <v>3669875.0</v>
      </c>
      <c r="U18" s="42" t="s">
        <v>32</v>
      </c>
      <c r="V18" s="14">
        <v>778.0</v>
      </c>
      <c r="W18" s="14">
        <v>1300.0</v>
      </c>
      <c r="X18" s="14">
        <v>7285410.0</v>
      </c>
      <c r="Y18" s="14">
        <v>3469510.0</v>
      </c>
    </row>
    <row r="19" ht="14.25" customHeight="1">
      <c r="A19" s="37"/>
    </row>
    <row r="20" ht="14.25" customHeight="1">
      <c r="A20" s="37"/>
    </row>
    <row r="21" ht="14.25" customHeight="1">
      <c r="A21" s="50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</row>
    <row r="22" ht="14.25" customHeight="1">
      <c r="A22" s="58" t="s">
        <v>16</v>
      </c>
      <c r="B22" s="58" t="s">
        <v>2</v>
      </c>
      <c r="C22" s="58" t="s">
        <v>3</v>
      </c>
      <c r="D22" s="58" t="s">
        <v>4</v>
      </c>
      <c r="E22" s="58" t="s">
        <v>5</v>
      </c>
      <c r="F22" s="58" t="s">
        <v>33</v>
      </c>
      <c r="G22" s="58" t="s">
        <v>34</v>
      </c>
      <c r="H22" s="58" t="s">
        <v>12</v>
      </c>
      <c r="I22" s="58" t="s">
        <v>13</v>
      </c>
      <c r="J22" s="39"/>
      <c r="K22" s="59" t="s">
        <v>16</v>
      </c>
      <c r="L22" s="59" t="s">
        <v>2</v>
      </c>
      <c r="M22" s="59" t="s">
        <v>3</v>
      </c>
      <c r="N22" s="59" t="s">
        <v>4</v>
      </c>
      <c r="O22" s="59" t="s">
        <v>5</v>
      </c>
      <c r="P22" s="59" t="s">
        <v>33</v>
      </c>
      <c r="Q22" s="59" t="s">
        <v>34</v>
      </c>
      <c r="R22" s="59" t="s">
        <v>12</v>
      </c>
      <c r="S22" s="59" t="s">
        <v>13</v>
      </c>
      <c r="U22" s="60" t="s">
        <v>16</v>
      </c>
      <c r="V22" s="60" t="s">
        <v>2</v>
      </c>
      <c r="W22" s="60" t="s">
        <v>3</v>
      </c>
      <c r="X22" s="60" t="s">
        <v>4</v>
      </c>
      <c r="Y22" s="60" t="s">
        <v>5</v>
      </c>
      <c r="Z22" s="60" t="s">
        <v>33</v>
      </c>
      <c r="AA22" s="60" t="s">
        <v>34</v>
      </c>
      <c r="AB22" s="60" t="s">
        <v>12</v>
      </c>
      <c r="AC22" s="60" t="s">
        <v>13</v>
      </c>
    </row>
    <row r="23" ht="14.25" customHeight="1">
      <c r="A23" s="61" t="str">
        <f t="shared" ref="A23:E23" si="1">A5</f>
        <v>2021Q3</v>
      </c>
      <c r="B23" s="62">
        <f t="shared" si="1"/>
        <v>2842</v>
      </c>
      <c r="C23" s="62">
        <f t="shared" si="1"/>
        <v>3593</v>
      </c>
      <c r="D23" s="62">
        <f t="shared" si="1"/>
        <v>18866045</v>
      </c>
      <c r="E23" s="62">
        <f t="shared" si="1"/>
        <v>9389215</v>
      </c>
      <c r="F23" s="63">
        <f t="shared" ref="F23:F36" si="4">B5/$B$5</f>
        <v>1</v>
      </c>
      <c r="G23" s="64">
        <f t="shared" ref="G23:G36" si="5">D5/B5</f>
        <v>6638.298733</v>
      </c>
      <c r="H23" s="65">
        <f t="shared" ref="H23:I23" si="2">C5/B5</f>
        <v>1.264250528</v>
      </c>
      <c r="I23" s="64">
        <f t="shared" si="2"/>
        <v>5250.777901</v>
      </c>
      <c r="K23" s="66"/>
      <c r="L23" s="67"/>
      <c r="M23" s="68"/>
      <c r="N23" s="68"/>
      <c r="O23" s="68"/>
      <c r="P23" s="69"/>
      <c r="Q23" s="70"/>
      <c r="R23" s="70"/>
      <c r="S23" s="70"/>
      <c r="U23" s="71"/>
      <c r="V23" s="72"/>
      <c r="W23" s="73"/>
      <c r="X23" s="73"/>
      <c r="Y23" s="73"/>
      <c r="Z23" s="74"/>
      <c r="AA23" s="75"/>
      <c r="AB23" s="75"/>
      <c r="AC23" s="75"/>
    </row>
    <row r="24" ht="14.25" customHeight="1">
      <c r="A24" s="61" t="str">
        <f t="shared" ref="A24:E24" si="3">A6</f>
        <v>2021Q4</v>
      </c>
      <c r="B24" s="62">
        <f t="shared" si="3"/>
        <v>529</v>
      </c>
      <c r="C24" s="62">
        <f t="shared" si="3"/>
        <v>818</v>
      </c>
      <c r="D24" s="62">
        <f t="shared" si="3"/>
        <v>4377010</v>
      </c>
      <c r="E24" s="62">
        <f t="shared" si="3"/>
        <v>2173325</v>
      </c>
      <c r="F24" s="63">
        <f t="shared" si="4"/>
        <v>0.1861365236</v>
      </c>
      <c r="G24" s="64">
        <f t="shared" si="5"/>
        <v>8274.120983</v>
      </c>
      <c r="H24" s="65">
        <f t="shared" ref="H24:I24" si="6">C6/B6</f>
        <v>1.5463138</v>
      </c>
      <c r="I24" s="64">
        <f t="shared" si="6"/>
        <v>5350.867971</v>
      </c>
      <c r="K24" s="76" t="str">
        <f t="shared" ref="K24:O24" si="7">K6</f>
        <v>2021Q4</v>
      </c>
      <c r="L24" s="68">
        <f t="shared" si="7"/>
        <v>6161</v>
      </c>
      <c r="M24" s="68">
        <f t="shared" si="7"/>
        <v>7980</v>
      </c>
      <c r="N24" s="68">
        <f t="shared" si="7"/>
        <v>50815985</v>
      </c>
      <c r="O24" s="68">
        <f t="shared" si="7"/>
        <v>26164050</v>
      </c>
      <c r="P24" s="69">
        <f t="shared" ref="P24:P36" si="12">L6/$L$6</f>
        <v>1</v>
      </c>
      <c r="Q24" s="77">
        <f t="shared" ref="Q24:Q36" si="13">N6/L6</f>
        <v>8248.009252</v>
      </c>
      <c r="R24" s="70">
        <f t="shared" ref="R24:S24" si="8">M6/L6</f>
        <v>1.295244279</v>
      </c>
      <c r="S24" s="77">
        <f t="shared" si="8"/>
        <v>6367.91792</v>
      </c>
      <c r="U24" s="71"/>
      <c r="V24" s="72"/>
      <c r="W24" s="73"/>
      <c r="X24" s="73"/>
      <c r="Y24" s="73"/>
      <c r="Z24" s="74"/>
      <c r="AA24" s="75"/>
      <c r="AB24" s="75"/>
      <c r="AC24" s="75"/>
    </row>
    <row r="25" ht="14.25" customHeight="1">
      <c r="A25" s="61" t="str">
        <f t="shared" ref="A25:E25" si="9">A7</f>
        <v>2022Q1</v>
      </c>
      <c r="B25" s="62">
        <f t="shared" si="9"/>
        <v>237</v>
      </c>
      <c r="C25" s="62">
        <f t="shared" si="9"/>
        <v>325</v>
      </c>
      <c r="D25" s="62">
        <f t="shared" si="9"/>
        <v>1908940</v>
      </c>
      <c r="E25" s="62">
        <f t="shared" si="9"/>
        <v>942755</v>
      </c>
      <c r="F25" s="63">
        <f t="shared" si="4"/>
        <v>0.08339197748</v>
      </c>
      <c r="G25" s="64">
        <f t="shared" si="5"/>
        <v>8054.599156</v>
      </c>
      <c r="H25" s="65">
        <f t="shared" ref="H25:I25" si="10">C7/B7</f>
        <v>1.371308017</v>
      </c>
      <c r="I25" s="64">
        <f t="shared" si="10"/>
        <v>5873.661538</v>
      </c>
      <c r="K25" s="76" t="str">
        <f t="shared" ref="K25:O25" si="11">K7</f>
        <v>2022Q1</v>
      </c>
      <c r="L25" s="68">
        <f t="shared" si="11"/>
        <v>619</v>
      </c>
      <c r="M25" s="68">
        <f t="shared" si="11"/>
        <v>939</v>
      </c>
      <c r="N25" s="68">
        <f t="shared" si="11"/>
        <v>5396435</v>
      </c>
      <c r="O25" s="68">
        <f t="shared" si="11"/>
        <v>2596110</v>
      </c>
      <c r="P25" s="69">
        <f t="shared" si="12"/>
        <v>0.1004707028</v>
      </c>
      <c r="Q25" s="77">
        <f t="shared" si="13"/>
        <v>8717.988691</v>
      </c>
      <c r="R25" s="70">
        <f t="shared" ref="R25:S25" si="14">M7/L7</f>
        <v>1.516962843</v>
      </c>
      <c r="S25" s="77">
        <f t="shared" si="14"/>
        <v>5747.00213</v>
      </c>
      <c r="U25" s="71"/>
      <c r="V25" s="72"/>
      <c r="W25" s="73"/>
      <c r="X25" s="73"/>
      <c r="Y25" s="73"/>
      <c r="Z25" s="74"/>
      <c r="AA25" s="75"/>
      <c r="AB25" s="75"/>
      <c r="AC25" s="75"/>
    </row>
    <row r="26" ht="14.25" customHeight="1">
      <c r="A26" s="61" t="str">
        <f t="shared" ref="A26:E26" si="15">A8</f>
        <v>2022Q2</v>
      </c>
      <c r="B26" s="62">
        <f t="shared" si="15"/>
        <v>318</v>
      </c>
      <c r="C26" s="62">
        <f t="shared" si="15"/>
        <v>467</v>
      </c>
      <c r="D26" s="62">
        <f t="shared" si="15"/>
        <v>2357300</v>
      </c>
      <c r="E26" s="62">
        <f t="shared" si="15"/>
        <v>1154450</v>
      </c>
      <c r="F26" s="63">
        <f t="shared" si="4"/>
        <v>0.1118930331</v>
      </c>
      <c r="G26" s="64">
        <f t="shared" si="5"/>
        <v>7412.893082</v>
      </c>
      <c r="H26" s="65">
        <f t="shared" ref="H26:I26" si="16">C8/B8</f>
        <v>1.468553459</v>
      </c>
      <c r="I26" s="64">
        <f t="shared" si="16"/>
        <v>5047.751606</v>
      </c>
      <c r="K26" s="76" t="str">
        <f t="shared" ref="K26:O26" si="17">K8</f>
        <v>2022Q2</v>
      </c>
      <c r="L26" s="68">
        <f t="shared" si="17"/>
        <v>546</v>
      </c>
      <c r="M26" s="68">
        <f t="shared" si="17"/>
        <v>855</v>
      </c>
      <c r="N26" s="68">
        <f t="shared" si="17"/>
        <v>4014505</v>
      </c>
      <c r="O26" s="68">
        <f t="shared" si="17"/>
        <v>1990010</v>
      </c>
      <c r="P26" s="69">
        <f t="shared" si="12"/>
        <v>0.08862197695</v>
      </c>
      <c r="Q26" s="77">
        <f t="shared" si="13"/>
        <v>7352.57326</v>
      </c>
      <c r="R26" s="70">
        <f t="shared" ref="R26:S26" si="18">M8/L8</f>
        <v>1.565934066</v>
      </c>
      <c r="S26" s="77">
        <f t="shared" si="18"/>
        <v>4695.327485</v>
      </c>
      <c r="U26" s="71"/>
      <c r="V26" s="72"/>
      <c r="W26" s="73"/>
      <c r="X26" s="73"/>
      <c r="Y26" s="73"/>
      <c r="Z26" s="74"/>
      <c r="AA26" s="75"/>
      <c r="AB26" s="75"/>
      <c r="AC26" s="75"/>
    </row>
    <row r="27" ht="14.25" customHeight="1">
      <c r="A27" s="61" t="str">
        <f t="shared" ref="A27:E27" si="19">A9</f>
        <v>2022Q3</v>
      </c>
      <c r="B27" s="62">
        <f t="shared" si="19"/>
        <v>317</v>
      </c>
      <c r="C27" s="62">
        <f t="shared" si="19"/>
        <v>468</v>
      </c>
      <c r="D27" s="62">
        <f t="shared" si="19"/>
        <v>2213530</v>
      </c>
      <c r="E27" s="62">
        <f t="shared" si="19"/>
        <v>1063370</v>
      </c>
      <c r="F27" s="63">
        <f t="shared" si="4"/>
        <v>0.1115411682</v>
      </c>
      <c r="G27" s="64">
        <f t="shared" si="5"/>
        <v>6982.744479</v>
      </c>
      <c r="H27" s="65">
        <f t="shared" ref="H27:I27" si="20">C9/B9</f>
        <v>1.476340694</v>
      </c>
      <c r="I27" s="64">
        <f t="shared" si="20"/>
        <v>4729.764957</v>
      </c>
      <c r="K27" s="76" t="str">
        <f t="shared" ref="K27:O27" si="21">K9</f>
        <v>2022Q3</v>
      </c>
      <c r="L27" s="68">
        <f t="shared" si="21"/>
        <v>451</v>
      </c>
      <c r="M27" s="68">
        <f t="shared" si="21"/>
        <v>696</v>
      </c>
      <c r="N27" s="68">
        <f t="shared" si="21"/>
        <v>3515930</v>
      </c>
      <c r="O27" s="68">
        <f t="shared" si="21"/>
        <v>1742015</v>
      </c>
      <c r="P27" s="69">
        <f t="shared" si="12"/>
        <v>0.07320240221</v>
      </c>
      <c r="Q27" s="77">
        <f t="shared" si="13"/>
        <v>7795.853659</v>
      </c>
      <c r="R27" s="70">
        <f t="shared" ref="R27:S27" si="22">M9/L9</f>
        <v>1.543237251</v>
      </c>
      <c r="S27" s="77">
        <f t="shared" si="22"/>
        <v>5051.623563</v>
      </c>
      <c r="U27" s="71"/>
      <c r="V27" s="72"/>
      <c r="W27" s="73"/>
      <c r="X27" s="73"/>
      <c r="Y27" s="73"/>
      <c r="Z27" s="74"/>
      <c r="AA27" s="75"/>
      <c r="AB27" s="75"/>
      <c r="AC27" s="75"/>
    </row>
    <row r="28" ht="14.25" customHeight="1">
      <c r="A28" s="61" t="str">
        <f t="shared" ref="A28:E28" si="23">A10</f>
        <v>2022Q4</v>
      </c>
      <c r="B28" s="62">
        <f t="shared" si="23"/>
        <v>366</v>
      </c>
      <c r="C28" s="62">
        <f t="shared" si="23"/>
        <v>615</v>
      </c>
      <c r="D28" s="62">
        <f t="shared" si="23"/>
        <v>3017685</v>
      </c>
      <c r="E28" s="62">
        <f t="shared" si="23"/>
        <v>1435610</v>
      </c>
      <c r="F28" s="63">
        <f t="shared" si="4"/>
        <v>0.1287825475</v>
      </c>
      <c r="G28" s="64">
        <f t="shared" si="5"/>
        <v>8245.040984</v>
      </c>
      <c r="H28" s="65">
        <f t="shared" ref="H28:I28" si="24">C10/B10</f>
        <v>1.680327869</v>
      </c>
      <c r="I28" s="64">
        <f t="shared" si="24"/>
        <v>4906.804878</v>
      </c>
      <c r="K28" s="76" t="str">
        <f t="shared" ref="K28:O28" si="25">K10</f>
        <v>2022Q4</v>
      </c>
      <c r="L28" s="68">
        <f t="shared" si="25"/>
        <v>939</v>
      </c>
      <c r="M28" s="68">
        <f t="shared" si="25"/>
        <v>1579</v>
      </c>
      <c r="N28" s="68">
        <f t="shared" si="25"/>
        <v>8754185</v>
      </c>
      <c r="O28" s="68">
        <f t="shared" si="25"/>
        <v>4264700</v>
      </c>
      <c r="P28" s="69">
        <f t="shared" si="12"/>
        <v>0.152410323</v>
      </c>
      <c r="Q28" s="77">
        <f t="shared" si="13"/>
        <v>9322.880724</v>
      </c>
      <c r="R28" s="70">
        <f t="shared" ref="R28:S28" si="26">M10/L10</f>
        <v>1.681576145</v>
      </c>
      <c r="S28" s="77">
        <f t="shared" si="26"/>
        <v>5544.132362</v>
      </c>
      <c r="U28" s="78" t="s">
        <v>24</v>
      </c>
      <c r="V28" s="73">
        <f t="shared" ref="V28:Y28" si="27">V10</f>
        <v>5881</v>
      </c>
      <c r="W28" s="73">
        <f t="shared" si="27"/>
        <v>7651</v>
      </c>
      <c r="X28" s="73">
        <f t="shared" si="27"/>
        <v>46089890</v>
      </c>
      <c r="Y28" s="73">
        <f t="shared" si="27"/>
        <v>22577830</v>
      </c>
      <c r="Z28" s="74">
        <f t="shared" ref="Z28:Z36" si="34">V10/$V$10</f>
        <v>1</v>
      </c>
      <c r="AA28" s="79">
        <f t="shared" ref="AA28:AA36" si="35">X10/V10</f>
        <v>7837.083829</v>
      </c>
      <c r="AB28" s="75">
        <f t="shared" ref="AB28:AC28" si="28">W10/V10</f>
        <v>1.300969223</v>
      </c>
      <c r="AC28" s="80">
        <f t="shared" si="28"/>
        <v>6024.034767</v>
      </c>
    </row>
    <row r="29" ht="14.25" customHeight="1">
      <c r="A29" s="61" t="str">
        <f t="shared" ref="A29:E29" si="29">A11</f>
        <v>2023Q1</v>
      </c>
      <c r="B29" s="62">
        <f t="shared" si="29"/>
        <v>234</v>
      </c>
      <c r="C29" s="62">
        <f t="shared" si="29"/>
        <v>339</v>
      </c>
      <c r="D29" s="62">
        <f t="shared" si="29"/>
        <v>1575365</v>
      </c>
      <c r="E29" s="62">
        <f t="shared" si="29"/>
        <v>740795</v>
      </c>
      <c r="F29" s="63">
        <f t="shared" si="4"/>
        <v>0.08233638283</v>
      </c>
      <c r="G29" s="64">
        <f t="shared" si="5"/>
        <v>6732.32906</v>
      </c>
      <c r="H29" s="65">
        <f t="shared" ref="H29:I29" si="30">C11/B11</f>
        <v>1.448717949</v>
      </c>
      <c r="I29" s="64">
        <f t="shared" si="30"/>
        <v>4647.094395</v>
      </c>
      <c r="K29" s="76" t="str">
        <f t="shared" ref="K29:O29" si="31">K11</f>
        <v>2023Q1</v>
      </c>
      <c r="L29" s="68">
        <f t="shared" si="31"/>
        <v>418</v>
      </c>
      <c r="M29" s="68">
        <f t="shared" si="31"/>
        <v>687</v>
      </c>
      <c r="N29" s="68">
        <f t="shared" si="31"/>
        <v>3430020</v>
      </c>
      <c r="O29" s="68">
        <f t="shared" si="31"/>
        <v>1596375</v>
      </c>
      <c r="P29" s="69">
        <f t="shared" si="12"/>
        <v>0.06784612888</v>
      </c>
      <c r="Q29" s="77">
        <f t="shared" si="13"/>
        <v>8205.789474</v>
      </c>
      <c r="R29" s="70">
        <f t="shared" ref="R29:S29" si="32">M11/L11</f>
        <v>1.64354067</v>
      </c>
      <c r="S29" s="77">
        <f t="shared" si="32"/>
        <v>4992.751092</v>
      </c>
      <c r="U29" s="81" t="str">
        <f t="shared" ref="U29:Y29" si="33">U11</f>
        <v>2023Q1</v>
      </c>
      <c r="V29" s="73">
        <f t="shared" si="33"/>
        <v>690</v>
      </c>
      <c r="W29" s="73">
        <f t="shared" si="33"/>
        <v>1011</v>
      </c>
      <c r="X29" s="73">
        <f t="shared" si="33"/>
        <v>5531845</v>
      </c>
      <c r="Y29" s="73">
        <f t="shared" si="33"/>
        <v>2540340</v>
      </c>
      <c r="Z29" s="74">
        <f t="shared" si="34"/>
        <v>0.1173269852</v>
      </c>
      <c r="AA29" s="79">
        <f t="shared" si="35"/>
        <v>8017.166667</v>
      </c>
      <c r="AB29" s="75">
        <f t="shared" ref="AB29:AC29" si="36">W11/V11</f>
        <v>1.465217391</v>
      </c>
      <c r="AC29" s="80">
        <f t="shared" si="36"/>
        <v>5471.656775</v>
      </c>
    </row>
    <row r="30" ht="14.25" customHeight="1">
      <c r="A30" s="61" t="str">
        <f t="shared" ref="A30:E30" si="37">A12</f>
        <v>2023Q2</v>
      </c>
      <c r="B30" s="62">
        <f t="shared" si="37"/>
        <v>254</v>
      </c>
      <c r="C30" s="62">
        <f t="shared" si="37"/>
        <v>408</v>
      </c>
      <c r="D30" s="62">
        <f t="shared" si="37"/>
        <v>1804770</v>
      </c>
      <c r="E30" s="62">
        <f t="shared" si="37"/>
        <v>868560</v>
      </c>
      <c r="F30" s="63">
        <f t="shared" si="4"/>
        <v>0.08937368051</v>
      </c>
      <c r="G30" s="64">
        <f t="shared" si="5"/>
        <v>7105.393701</v>
      </c>
      <c r="H30" s="65">
        <f t="shared" ref="H30:I30" si="38">C12/B12</f>
        <v>1.606299213</v>
      </c>
      <c r="I30" s="64">
        <f t="shared" si="38"/>
        <v>4423.455882</v>
      </c>
      <c r="K30" s="76" t="str">
        <f t="shared" ref="K30:O30" si="39">K12</f>
        <v>2023Q2</v>
      </c>
      <c r="L30" s="68">
        <f t="shared" si="39"/>
        <v>442</v>
      </c>
      <c r="M30" s="68">
        <f t="shared" si="39"/>
        <v>738</v>
      </c>
      <c r="N30" s="68">
        <f t="shared" si="39"/>
        <v>3375460</v>
      </c>
      <c r="O30" s="68">
        <f t="shared" si="39"/>
        <v>1614635</v>
      </c>
      <c r="P30" s="69">
        <f t="shared" si="12"/>
        <v>0.07174160039</v>
      </c>
      <c r="Q30" s="77">
        <f t="shared" si="13"/>
        <v>7636.78733</v>
      </c>
      <c r="R30" s="70">
        <f t="shared" ref="R30:S30" si="40">M12/L12</f>
        <v>1.669683258</v>
      </c>
      <c r="S30" s="77">
        <f t="shared" si="40"/>
        <v>4573.794038</v>
      </c>
      <c r="U30" s="81" t="str">
        <f t="shared" ref="U30:Y30" si="41">U12</f>
        <v>2023Q2</v>
      </c>
      <c r="V30" s="73">
        <f t="shared" si="41"/>
        <v>473</v>
      </c>
      <c r="W30" s="73">
        <f t="shared" si="41"/>
        <v>675</v>
      </c>
      <c r="X30" s="73">
        <f t="shared" si="41"/>
        <v>3571370</v>
      </c>
      <c r="Y30" s="73">
        <f t="shared" si="41"/>
        <v>1677170</v>
      </c>
      <c r="Z30" s="74">
        <f t="shared" si="34"/>
        <v>0.08042849855</v>
      </c>
      <c r="AA30" s="79">
        <f t="shared" si="35"/>
        <v>7550.465116</v>
      </c>
      <c r="AB30" s="75">
        <f t="shared" ref="AB30:AC30" si="42">W12/V12</f>
        <v>1.427061311</v>
      </c>
      <c r="AC30" s="80">
        <f t="shared" si="42"/>
        <v>5290.918519</v>
      </c>
    </row>
    <row r="31" ht="14.25" customHeight="1">
      <c r="A31" s="61" t="str">
        <f t="shared" ref="A31:E31" si="43">A13</f>
        <v>2023Q3</v>
      </c>
      <c r="B31" s="62">
        <f t="shared" si="43"/>
        <v>269</v>
      </c>
      <c r="C31" s="62">
        <f t="shared" si="43"/>
        <v>385</v>
      </c>
      <c r="D31" s="62">
        <f t="shared" si="43"/>
        <v>1582735</v>
      </c>
      <c r="E31" s="62">
        <f t="shared" si="43"/>
        <v>742940</v>
      </c>
      <c r="F31" s="63">
        <f t="shared" si="4"/>
        <v>0.09465165376</v>
      </c>
      <c r="G31" s="64">
        <f t="shared" si="5"/>
        <v>5883.773234</v>
      </c>
      <c r="H31" s="65">
        <f t="shared" ref="H31:I31" si="44">C13/B13</f>
        <v>1.431226766</v>
      </c>
      <c r="I31" s="64">
        <f t="shared" si="44"/>
        <v>4111</v>
      </c>
      <c r="K31" s="76" t="str">
        <f t="shared" ref="K31:O31" si="45">K13</f>
        <v>2023Q3</v>
      </c>
      <c r="L31" s="68">
        <f t="shared" si="45"/>
        <v>430</v>
      </c>
      <c r="M31" s="68">
        <f t="shared" si="45"/>
        <v>731</v>
      </c>
      <c r="N31" s="68">
        <f t="shared" si="45"/>
        <v>3476385</v>
      </c>
      <c r="O31" s="68">
        <f t="shared" si="45"/>
        <v>1640210</v>
      </c>
      <c r="P31" s="69">
        <f t="shared" si="12"/>
        <v>0.06979386463</v>
      </c>
      <c r="Q31" s="77">
        <f t="shared" si="13"/>
        <v>8084.616279</v>
      </c>
      <c r="R31" s="70">
        <f t="shared" ref="R31:S31" si="46">M13/L13</f>
        <v>1.7</v>
      </c>
      <c r="S31" s="77">
        <f t="shared" si="46"/>
        <v>4755.656635</v>
      </c>
      <c r="U31" s="81" t="str">
        <f t="shared" ref="U31:Y31" si="47">U13</f>
        <v>2023Q3</v>
      </c>
      <c r="V31" s="73">
        <f t="shared" si="47"/>
        <v>420</v>
      </c>
      <c r="W31" s="73">
        <f t="shared" si="47"/>
        <v>601</v>
      </c>
      <c r="X31" s="73">
        <f t="shared" si="47"/>
        <v>2838000</v>
      </c>
      <c r="Y31" s="73">
        <f t="shared" si="47"/>
        <v>1371040</v>
      </c>
      <c r="Z31" s="74">
        <f t="shared" si="34"/>
        <v>0.07141642578</v>
      </c>
      <c r="AA31" s="79">
        <f t="shared" si="35"/>
        <v>6757.142857</v>
      </c>
      <c r="AB31" s="75">
        <f t="shared" ref="AB31:AC31" si="48">W13/V13</f>
        <v>1.430952381</v>
      </c>
      <c r="AC31" s="80">
        <f t="shared" si="48"/>
        <v>4722.129784</v>
      </c>
    </row>
    <row r="32" ht="14.25" customHeight="1">
      <c r="A32" s="61" t="str">
        <f t="shared" ref="A32:E32" si="49">A14</f>
        <v>2023Q4</v>
      </c>
      <c r="B32" s="62">
        <f t="shared" si="49"/>
        <v>358</v>
      </c>
      <c r="C32" s="62">
        <f t="shared" si="49"/>
        <v>625</v>
      </c>
      <c r="D32" s="62">
        <f t="shared" si="49"/>
        <v>3222065</v>
      </c>
      <c r="E32" s="62">
        <f t="shared" si="49"/>
        <v>1519155</v>
      </c>
      <c r="F32" s="63">
        <f t="shared" si="4"/>
        <v>0.1259676284</v>
      </c>
      <c r="G32" s="64">
        <f t="shared" si="5"/>
        <v>9000.181564</v>
      </c>
      <c r="H32" s="65">
        <f t="shared" ref="H32:I32" si="50">C14/B14</f>
        <v>1.745810056</v>
      </c>
      <c r="I32" s="64">
        <f t="shared" si="50"/>
        <v>5155.304</v>
      </c>
      <c r="K32" s="76" t="str">
        <f t="shared" ref="K32:O32" si="51">K14</f>
        <v>2023Q4</v>
      </c>
      <c r="L32" s="68">
        <f t="shared" si="51"/>
        <v>885</v>
      </c>
      <c r="M32" s="68">
        <f t="shared" si="51"/>
        <v>1542</v>
      </c>
      <c r="N32" s="68">
        <f t="shared" si="51"/>
        <v>8510590</v>
      </c>
      <c r="O32" s="68">
        <f t="shared" si="51"/>
        <v>4095850</v>
      </c>
      <c r="P32" s="69">
        <f t="shared" si="12"/>
        <v>0.1436455121</v>
      </c>
      <c r="Q32" s="77">
        <f t="shared" si="13"/>
        <v>9616.485876</v>
      </c>
      <c r="R32" s="70">
        <f t="shared" ref="R32:S32" si="52">M14/L14</f>
        <v>1.742372881</v>
      </c>
      <c r="S32" s="77">
        <f t="shared" si="52"/>
        <v>5519.189364</v>
      </c>
      <c r="U32" s="81" t="str">
        <f t="shared" ref="U32:Y32" si="53">U14</f>
        <v>2023Q4</v>
      </c>
      <c r="V32" s="73">
        <f t="shared" si="53"/>
        <v>999</v>
      </c>
      <c r="W32" s="73">
        <f t="shared" si="53"/>
        <v>1660</v>
      </c>
      <c r="X32" s="73">
        <f t="shared" si="53"/>
        <v>8927160</v>
      </c>
      <c r="Y32" s="73">
        <f t="shared" si="53"/>
        <v>4306665</v>
      </c>
      <c r="Z32" s="74">
        <f t="shared" si="34"/>
        <v>0.1698690699</v>
      </c>
      <c r="AA32" s="79">
        <f t="shared" si="35"/>
        <v>8936.096096</v>
      </c>
      <c r="AB32" s="75">
        <f t="shared" ref="AB32:AC32" si="54">W14/V14</f>
        <v>1.661661662</v>
      </c>
      <c r="AC32" s="80">
        <f t="shared" si="54"/>
        <v>5377.807229</v>
      </c>
    </row>
    <row r="33" ht="14.25" customHeight="1">
      <c r="A33" s="61" t="str">
        <f t="shared" ref="A33:E33" si="55">A15</f>
        <v>2024Q1</v>
      </c>
      <c r="B33" s="62">
        <f t="shared" si="55"/>
        <v>220</v>
      </c>
      <c r="C33" s="62">
        <f t="shared" si="55"/>
        <v>323</v>
      </c>
      <c r="D33" s="62">
        <f t="shared" si="55"/>
        <v>1638945</v>
      </c>
      <c r="E33" s="62">
        <f t="shared" si="55"/>
        <v>766755</v>
      </c>
      <c r="F33" s="63">
        <f t="shared" si="4"/>
        <v>0.07741027445</v>
      </c>
      <c r="G33" s="64">
        <f t="shared" si="5"/>
        <v>7449.75</v>
      </c>
      <c r="H33" s="65">
        <f t="shared" ref="H33:I33" si="56">C15/B15</f>
        <v>1.468181818</v>
      </c>
      <c r="I33" s="64">
        <f t="shared" si="56"/>
        <v>5074.133127</v>
      </c>
      <c r="K33" s="76" t="str">
        <f t="shared" ref="K33:O33" si="57">K15</f>
        <v>2024Q1</v>
      </c>
      <c r="L33" s="68">
        <f t="shared" si="57"/>
        <v>381</v>
      </c>
      <c r="M33" s="68">
        <f t="shared" si="57"/>
        <v>625</v>
      </c>
      <c r="N33" s="68">
        <f t="shared" si="57"/>
        <v>3439535</v>
      </c>
      <c r="O33" s="68">
        <f t="shared" si="57"/>
        <v>1651705</v>
      </c>
      <c r="P33" s="69">
        <f t="shared" si="12"/>
        <v>0.06184061029</v>
      </c>
      <c r="Q33" s="77">
        <f t="shared" si="13"/>
        <v>9027.650919</v>
      </c>
      <c r="R33" s="70">
        <f t="shared" ref="R33:S33" si="58">M15/L15</f>
        <v>1.640419948</v>
      </c>
      <c r="S33" s="77">
        <f t="shared" si="58"/>
        <v>5503.256</v>
      </c>
      <c r="U33" s="81" t="str">
        <f t="shared" ref="U33:Y33" si="59">U15</f>
        <v>2024Q1</v>
      </c>
      <c r="V33" s="73">
        <f t="shared" si="59"/>
        <v>387</v>
      </c>
      <c r="W33" s="73">
        <f t="shared" si="59"/>
        <v>562</v>
      </c>
      <c r="X33" s="73">
        <f t="shared" si="59"/>
        <v>3135275</v>
      </c>
      <c r="Y33" s="73">
        <f t="shared" si="59"/>
        <v>1509805</v>
      </c>
      <c r="Z33" s="74">
        <f t="shared" si="34"/>
        <v>0.06580513518</v>
      </c>
      <c r="AA33" s="79">
        <f t="shared" si="35"/>
        <v>8101.485788</v>
      </c>
      <c r="AB33" s="75">
        <f t="shared" ref="AB33:AC33" si="60">W15/V15</f>
        <v>1.452196382</v>
      </c>
      <c r="AC33" s="80">
        <f t="shared" si="60"/>
        <v>5578.781139</v>
      </c>
    </row>
    <row r="34" ht="14.25" customHeight="1">
      <c r="A34" s="61" t="str">
        <f t="shared" ref="A34:E34" si="61">A16</f>
        <v>2024Q2</v>
      </c>
      <c r="B34" s="62">
        <f t="shared" si="61"/>
        <v>224</v>
      </c>
      <c r="C34" s="62">
        <f t="shared" si="61"/>
        <v>338</v>
      </c>
      <c r="D34" s="62">
        <f t="shared" si="61"/>
        <v>1742675</v>
      </c>
      <c r="E34" s="62">
        <f t="shared" si="61"/>
        <v>828905</v>
      </c>
      <c r="F34" s="63">
        <f t="shared" si="4"/>
        <v>0.07881773399</v>
      </c>
      <c r="G34" s="64">
        <f t="shared" si="5"/>
        <v>7779.799107</v>
      </c>
      <c r="H34" s="65">
        <f t="shared" ref="H34:I34" si="62">C16/B16</f>
        <v>1.508928571</v>
      </c>
      <c r="I34" s="64">
        <f t="shared" si="62"/>
        <v>5155.843195</v>
      </c>
      <c r="K34" s="76" t="str">
        <f t="shared" ref="K34:O34" si="63">K16</f>
        <v>2024Q2</v>
      </c>
      <c r="L34" s="68">
        <f t="shared" si="63"/>
        <v>384</v>
      </c>
      <c r="M34" s="68">
        <f t="shared" si="63"/>
        <v>654</v>
      </c>
      <c r="N34" s="68">
        <f t="shared" si="63"/>
        <v>3467475</v>
      </c>
      <c r="O34" s="68">
        <f t="shared" si="63"/>
        <v>1650495</v>
      </c>
      <c r="P34" s="69">
        <f t="shared" si="12"/>
        <v>0.06232754423</v>
      </c>
      <c r="Q34" s="77">
        <f t="shared" si="13"/>
        <v>9029.882813</v>
      </c>
      <c r="R34" s="70">
        <f t="shared" ref="R34:S34" si="64">M16/L16</f>
        <v>1.703125</v>
      </c>
      <c r="S34" s="77">
        <f t="shared" si="64"/>
        <v>5301.949541</v>
      </c>
      <c r="U34" s="81" t="str">
        <f t="shared" ref="U34:Y34" si="65">U16</f>
        <v>2024Q2</v>
      </c>
      <c r="V34" s="73">
        <f t="shared" si="65"/>
        <v>343</v>
      </c>
      <c r="W34" s="73">
        <f t="shared" si="65"/>
        <v>522</v>
      </c>
      <c r="X34" s="73">
        <f t="shared" si="65"/>
        <v>2546775</v>
      </c>
      <c r="Y34" s="73">
        <f t="shared" si="65"/>
        <v>1241075</v>
      </c>
      <c r="Z34" s="74">
        <f t="shared" si="34"/>
        <v>0.05832341439</v>
      </c>
      <c r="AA34" s="79">
        <f t="shared" si="35"/>
        <v>7425</v>
      </c>
      <c r="AB34" s="75">
        <f t="shared" ref="AB34:AC34" si="66">W16/V16</f>
        <v>1.521865889</v>
      </c>
      <c r="AC34" s="80">
        <f t="shared" si="66"/>
        <v>4878.87931</v>
      </c>
    </row>
    <row r="35" ht="14.25" customHeight="1">
      <c r="A35" s="82" t="s">
        <v>31</v>
      </c>
      <c r="B35" s="62">
        <f t="shared" ref="B35:E35" si="67">B17</f>
        <v>230</v>
      </c>
      <c r="C35" s="62">
        <f t="shared" si="67"/>
        <v>349</v>
      </c>
      <c r="D35" s="62">
        <f t="shared" si="67"/>
        <v>1446720</v>
      </c>
      <c r="E35" s="62">
        <f t="shared" si="67"/>
        <v>692780</v>
      </c>
      <c r="F35" s="63">
        <f t="shared" si="4"/>
        <v>0.08092892329</v>
      </c>
      <c r="G35" s="64">
        <f t="shared" si="5"/>
        <v>6290.086957</v>
      </c>
      <c r="H35" s="65">
        <f t="shared" ref="H35:I35" si="68">C17/B17</f>
        <v>1.517391304</v>
      </c>
      <c r="I35" s="64">
        <f t="shared" si="68"/>
        <v>4145.329513</v>
      </c>
      <c r="K35" s="76" t="str">
        <f t="shared" ref="K35:O35" si="69">K17</f>
        <v>2024Q3</v>
      </c>
      <c r="L35" s="68">
        <f t="shared" si="69"/>
        <v>351</v>
      </c>
      <c r="M35" s="68">
        <f t="shared" si="69"/>
        <v>561</v>
      </c>
      <c r="N35" s="68">
        <f t="shared" si="69"/>
        <v>2413840</v>
      </c>
      <c r="O35" s="68">
        <f t="shared" si="69"/>
        <v>1158025</v>
      </c>
      <c r="P35" s="69">
        <f t="shared" si="12"/>
        <v>0.0569712709</v>
      </c>
      <c r="Q35" s="77">
        <f t="shared" si="13"/>
        <v>6877.037037</v>
      </c>
      <c r="R35" s="70">
        <f t="shared" ref="R35:S35" si="70">M17/L17</f>
        <v>1.598290598</v>
      </c>
      <c r="S35" s="77">
        <f t="shared" si="70"/>
        <v>4302.745098</v>
      </c>
      <c r="U35" s="81" t="str">
        <f t="shared" ref="U35:Y35" si="71">U17</f>
        <v>2024Q3</v>
      </c>
      <c r="V35" s="73">
        <f t="shared" si="71"/>
        <v>356</v>
      </c>
      <c r="W35" s="73">
        <f t="shared" si="71"/>
        <v>518</v>
      </c>
      <c r="X35" s="73">
        <f t="shared" si="71"/>
        <v>2251975</v>
      </c>
      <c r="Y35" s="73">
        <f t="shared" si="71"/>
        <v>1074480</v>
      </c>
      <c r="Z35" s="74">
        <f t="shared" si="34"/>
        <v>0.0605339228</v>
      </c>
      <c r="AA35" s="79">
        <f t="shared" si="35"/>
        <v>6325.772472</v>
      </c>
      <c r="AB35" s="75">
        <f t="shared" ref="AB35:AC35" si="72">W17/V17</f>
        <v>1.45505618</v>
      </c>
      <c r="AC35" s="80">
        <f t="shared" si="72"/>
        <v>4347.442085</v>
      </c>
    </row>
    <row r="36" ht="14.25" customHeight="1">
      <c r="A36" s="61" t="str">
        <f t="shared" ref="A36:E36" si="73">A18</f>
        <v>2024Q4</v>
      </c>
      <c r="B36" s="62">
        <f t="shared" si="73"/>
        <v>311</v>
      </c>
      <c r="C36" s="62">
        <f t="shared" si="73"/>
        <v>523</v>
      </c>
      <c r="D36" s="62">
        <f t="shared" si="73"/>
        <v>2693735</v>
      </c>
      <c r="E36" s="62">
        <f t="shared" si="73"/>
        <v>1293325</v>
      </c>
      <c r="F36" s="63">
        <f t="shared" si="4"/>
        <v>0.1094299789</v>
      </c>
      <c r="G36" s="64">
        <f t="shared" si="5"/>
        <v>8661.527331</v>
      </c>
      <c r="H36" s="65">
        <f t="shared" ref="H36:I36" si="74">C18/B18</f>
        <v>1.681672026</v>
      </c>
      <c r="I36" s="64">
        <f t="shared" si="74"/>
        <v>5150.544933</v>
      </c>
      <c r="K36" s="76" t="str">
        <f t="shared" ref="K36:O36" si="75">K18</f>
        <v>2024Q4</v>
      </c>
      <c r="L36" s="68">
        <f t="shared" si="75"/>
        <v>743</v>
      </c>
      <c r="M36" s="68">
        <f t="shared" si="75"/>
        <v>1364</v>
      </c>
      <c r="N36" s="68">
        <f t="shared" si="75"/>
        <v>7542645</v>
      </c>
      <c r="O36" s="68">
        <f t="shared" si="75"/>
        <v>3669875</v>
      </c>
      <c r="P36" s="69">
        <f t="shared" si="12"/>
        <v>0.1205973056</v>
      </c>
      <c r="Q36" s="77">
        <f t="shared" si="13"/>
        <v>10151.60834</v>
      </c>
      <c r="R36" s="70">
        <f t="shared" ref="R36:S36" si="76">M18/L18</f>
        <v>1.835800808</v>
      </c>
      <c r="S36" s="77">
        <f t="shared" si="76"/>
        <v>5529.798387</v>
      </c>
      <c r="U36" s="81" t="str">
        <f t="shared" ref="U36:Y36" si="77">U18</f>
        <v>2024Q4</v>
      </c>
      <c r="V36" s="73">
        <f t="shared" si="77"/>
        <v>778</v>
      </c>
      <c r="W36" s="73">
        <f t="shared" si="77"/>
        <v>1300</v>
      </c>
      <c r="X36" s="73">
        <f t="shared" si="77"/>
        <v>7285410</v>
      </c>
      <c r="Y36" s="73">
        <f t="shared" si="77"/>
        <v>3469510</v>
      </c>
      <c r="Z36" s="74">
        <f t="shared" si="34"/>
        <v>0.1322904268</v>
      </c>
      <c r="AA36" s="79">
        <f t="shared" si="35"/>
        <v>9364.280206</v>
      </c>
      <c r="AB36" s="75">
        <f t="shared" ref="AB36:AC36" si="78">W18/V18</f>
        <v>1.670951157</v>
      </c>
      <c r="AC36" s="80">
        <f t="shared" si="78"/>
        <v>5604.161538</v>
      </c>
    </row>
    <row r="37" ht="14.25" customHeight="1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</row>
    <row r="38" ht="14.25" customHeight="1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</row>
    <row r="39" ht="14.25" customHeight="1">
      <c r="A39" s="37"/>
    </row>
    <row r="40" ht="14.25" customHeight="1">
      <c r="A40" s="83"/>
      <c r="B40" s="84" t="s">
        <v>33</v>
      </c>
      <c r="C40" s="85"/>
      <c r="D40" s="85"/>
      <c r="E40" s="86" t="s">
        <v>34</v>
      </c>
      <c r="F40" s="87"/>
      <c r="G40" s="85"/>
      <c r="H40" s="86" t="s">
        <v>13</v>
      </c>
      <c r="I40" s="85"/>
      <c r="J40" s="87"/>
    </row>
    <row r="41" ht="14.25" customHeight="1">
      <c r="A41" s="88" t="str">
        <f t="shared" ref="A41:A55" si="79">A22</f>
        <v>Quarter</v>
      </c>
      <c r="B41" s="89" t="s">
        <v>36</v>
      </c>
      <c r="C41" s="89" t="s">
        <v>37</v>
      </c>
      <c r="D41" s="89" t="s">
        <v>38</v>
      </c>
      <c r="E41" s="90" t="s">
        <v>36</v>
      </c>
      <c r="F41" s="90" t="s">
        <v>37</v>
      </c>
      <c r="G41" s="90" t="s">
        <v>38</v>
      </c>
      <c r="H41" s="91" t="s">
        <v>36</v>
      </c>
      <c r="I41" s="91" t="s">
        <v>37</v>
      </c>
      <c r="J41" s="91" t="s">
        <v>38</v>
      </c>
    </row>
    <row r="42" ht="14.25" customHeight="1">
      <c r="A42" s="88" t="str">
        <f t="shared" si="79"/>
        <v>2021Q3</v>
      </c>
      <c r="B42" s="92">
        <f t="shared" ref="B42:B55" si="80">F23</f>
        <v>1</v>
      </c>
      <c r="C42" s="92"/>
      <c r="D42" s="92"/>
      <c r="E42" s="93">
        <f t="shared" ref="E42:E55" si="81">G23</f>
        <v>6638.298733</v>
      </c>
      <c r="F42" s="93"/>
      <c r="G42" s="93"/>
      <c r="H42" s="94">
        <f t="shared" ref="H42:H55" si="82">I23</f>
        <v>5250.777901</v>
      </c>
      <c r="I42" s="94"/>
      <c r="J42" s="94"/>
    </row>
    <row r="43" ht="14.25" customHeight="1">
      <c r="A43" s="88" t="str">
        <f t="shared" si="79"/>
        <v>2021Q4</v>
      </c>
      <c r="B43" s="92">
        <f t="shared" si="80"/>
        <v>0.1861365236</v>
      </c>
      <c r="C43" s="92">
        <f t="shared" ref="C43:C55" si="83">P24</f>
        <v>1</v>
      </c>
      <c r="D43" s="92"/>
      <c r="E43" s="93">
        <f t="shared" si="81"/>
        <v>8274.120983</v>
      </c>
      <c r="F43" s="93">
        <f t="shared" ref="F43:F55" si="84">Q24</f>
        <v>8248.009252</v>
      </c>
      <c r="G43" s="93"/>
      <c r="H43" s="94">
        <f t="shared" si="82"/>
        <v>5350.867971</v>
      </c>
      <c r="I43" s="94">
        <f t="shared" ref="I43:I55" si="85">S24</f>
        <v>6367.91792</v>
      </c>
      <c r="J43" s="94"/>
    </row>
    <row r="44" ht="14.25" customHeight="1">
      <c r="A44" s="88" t="str">
        <f t="shared" si="79"/>
        <v>2022Q1</v>
      </c>
      <c r="B44" s="92">
        <f t="shared" si="80"/>
        <v>0.08339197748</v>
      </c>
      <c r="C44" s="92">
        <f t="shared" si="83"/>
        <v>0.1004707028</v>
      </c>
      <c r="D44" s="92"/>
      <c r="E44" s="93">
        <f t="shared" si="81"/>
        <v>8054.599156</v>
      </c>
      <c r="F44" s="93">
        <f t="shared" si="84"/>
        <v>8717.988691</v>
      </c>
      <c r="G44" s="93"/>
      <c r="H44" s="94">
        <f t="shared" si="82"/>
        <v>5873.661538</v>
      </c>
      <c r="I44" s="94">
        <f t="shared" si="85"/>
        <v>5747.00213</v>
      </c>
      <c r="J44" s="94"/>
    </row>
    <row r="45" ht="14.25" customHeight="1">
      <c r="A45" s="88" t="str">
        <f t="shared" si="79"/>
        <v>2022Q2</v>
      </c>
      <c r="B45" s="92">
        <f t="shared" si="80"/>
        <v>0.1118930331</v>
      </c>
      <c r="C45" s="92">
        <f t="shared" si="83"/>
        <v>0.08862197695</v>
      </c>
      <c r="D45" s="92"/>
      <c r="E45" s="93">
        <f t="shared" si="81"/>
        <v>7412.893082</v>
      </c>
      <c r="F45" s="93">
        <f t="shared" si="84"/>
        <v>7352.57326</v>
      </c>
      <c r="G45" s="93"/>
      <c r="H45" s="94">
        <f t="shared" si="82"/>
        <v>5047.751606</v>
      </c>
      <c r="I45" s="94">
        <f t="shared" si="85"/>
        <v>4695.327485</v>
      </c>
      <c r="J45" s="94"/>
    </row>
    <row r="46" ht="14.25" customHeight="1">
      <c r="A46" s="88" t="str">
        <f t="shared" si="79"/>
        <v>2022Q3</v>
      </c>
      <c r="B46" s="92">
        <f t="shared" si="80"/>
        <v>0.1115411682</v>
      </c>
      <c r="C46" s="92">
        <f t="shared" si="83"/>
        <v>0.07320240221</v>
      </c>
      <c r="D46" s="92"/>
      <c r="E46" s="93">
        <f t="shared" si="81"/>
        <v>6982.744479</v>
      </c>
      <c r="F46" s="93">
        <f t="shared" si="84"/>
        <v>7795.853659</v>
      </c>
      <c r="G46" s="93"/>
      <c r="H46" s="94">
        <f t="shared" si="82"/>
        <v>4729.764957</v>
      </c>
      <c r="I46" s="94">
        <f t="shared" si="85"/>
        <v>5051.623563</v>
      </c>
      <c r="J46" s="94"/>
    </row>
    <row r="47" ht="14.25" customHeight="1">
      <c r="A47" s="88" t="str">
        <f t="shared" si="79"/>
        <v>2022Q4</v>
      </c>
      <c r="B47" s="92">
        <f t="shared" si="80"/>
        <v>0.1287825475</v>
      </c>
      <c r="C47" s="92">
        <f t="shared" si="83"/>
        <v>0.152410323</v>
      </c>
      <c r="D47" s="92">
        <f t="shared" ref="D47:D55" si="86">Z28</f>
        <v>1</v>
      </c>
      <c r="E47" s="93">
        <f t="shared" si="81"/>
        <v>8245.040984</v>
      </c>
      <c r="F47" s="93">
        <f t="shared" si="84"/>
        <v>9322.880724</v>
      </c>
      <c r="G47" s="93">
        <f t="shared" ref="G47:G55" si="87">AA28</f>
        <v>7837.083829</v>
      </c>
      <c r="H47" s="94">
        <f t="shared" si="82"/>
        <v>4906.804878</v>
      </c>
      <c r="I47" s="94">
        <f t="shared" si="85"/>
        <v>5544.132362</v>
      </c>
      <c r="J47" s="94">
        <f t="shared" ref="J47:J55" si="88">AC28</f>
        <v>6024.034767</v>
      </c>
    </row>
    <row r="48" ht="14.25" customHeight="1">
      <c r="A48" s="88" t="str">
        <f t="shared" si="79"/>
        <v>2023Q1</v>
      </c>
      <c r="B48" s="92">
        <f t="shared" si="80"/>
        <v>0.08233638283</v>
      </c>
      <c r="C48" s="92">
        <f t="shared" si="83"/>
        <v>0.06784612888</v>
      </c>
      <c r="D48" s="92">
        <f t="shared" si="86"/>
        <v>0.1173269852</v>
      </c>
      <c r="E48" s="93">
        <f t="shared" si="81"/>
        <v>6732.32906</v>
      </c>
      <c r="F48" s="93">
        <f t="shared" si="84"/>
        <v>8205.789474</v>
      </c>
      <c r="G48" s="93">
        <f t="shared" si="87"/>
        <v>8017.166667</v>
      </c>
      <c r="H48" s="94">
        <f t="shared" si="82"/>
        <v>4647.094395</v>
      </c>
      <c r="I48" s="94">
        <f t="shared" si="85"/>
        <v>4992.751092</v>
      </c>
      <c r="J48" s="94">
        <f t="shared" si="88"/>
        <v>5471.656775</v>
      </c>
    </row>
    <row r="49" ht="14.25" customHeight="1">
      <c r="A49" s="88" t="str">
        <f t="shared" si="79"/>
        <v>2023Q2</v>
      </c>
      <c r="B49" s="92">
        <f t="shared" si="80"/>
        <v>0.08937368051</v>
      </c>
      <c r="C49" s="92">
        <f t="shared" si="83"/>
        <v>0.07174160039</v>
      </c>
      <c r="D49" s="92">
        <f t="shared" si="86"/>
        <v>0.08042849855</v>
      </c>
      <c r="E49" s="93">
        <f t="shared" si="81"/>
        <v>7105.393701</v>
      </c>
      <c r="F49" s="93">
        <f t="shared" si="84"/>
        <v>7636.78733</v>
      </c>
      <c r="G49" s="93">
        <f t="shared" si="87"/>
        <v>7550.465116</v>
      </c>
      <c r="H49" s="94">
        <f t="shared" si="82"/>
        <v>4423.455882</v>
      </c>
      <c r="I49" s="94">
        <f t="shared" si="85"/>
        <v>4573.794038</v>
      </c>
      <c r="J49" s="94">
        <f t="shared" si="88"/>
        <v>5290.918519</v>
      </c>
    </row>
    <row r="50" ht="14.25" customHeight="1">
      <c r="A50" s="88" t="str">
        <f t="shared" si="79"/>
        <v>2023Q3</v>
      </c>
      <c r="B50" s="92">
        <f t="shared" si="80"/>
        <v>0.09465165376</v>
      </c>
      <c r="C50" s="92">
        <f t="shared" si="83"/>
        <v>0.06979386463</v>
      </c>
      <c r="D50" s="92">
        <f t="shared" si="86"/>
        <v>0.07141642578</v>
      </c>
      <c r="E50" s="93">
        <f t="shared" si="81"/>
        <v>5883.773234</v>
      </c>
      <c r="F50" s="93">
        <f t="shared" si="84"/>
        <v>8084.616279</v>
      </c>
      <c r="G50" s="93">
        <f t="shared" si="87"/>
        <v>6757.142857</v>
      </c>
      <c r="H50" s="94">
        <f t="shared" si="82"/>
        <v>4111</v>
      </c>
      <c r="I50" s="94">
        <f t="shared" si="85"/>
        <v>4755.656635</v>
      </c>
      <c r="J50" s="94">
        <f t="shared" si="88"/>
        <v>4722.129784</v>
      </c>
    </row>
    <row r="51" ht="14.25" customHeight="1">
      <c r="A51" s="88" t="str">
        <f t="shared" si="79"/>
        <v>2023Q4</v>
      </c>
      <c r="B51" s="92">
        <f t="shared" si="80"/>
        <v>0.1259676284</v>
      </c>
      <c r="C51" s="92">
        <f t="shared" si="83"/>
        <v>0.1436455121</v>
      </c>
      <c r="D51" s="92">
        <f t="shared" si="86"/>
        <v>0.1698690699</v>
      </c>
      <c r="E51" s="93">
        <f t="shared" si="81"/>
        <v>9000.181564</v>
      </c>
      <c r="F51" s="93">
        <f t="shared" si="84"/>
        <v>9616.485876</v>
      </c>
      <c r="G51" s="93">
        <f t="shared" si="87"/>
        <v>8936.096096</v>
      </c>
      <c r="H51" s="94">
        <f t="shared" si="82"/>
        <v>5155.304</v>
      </c>
      <c r="I51" s="94">
        <f t="shared" si="85"/>
        <v>5519.189364</v>
      </c>
      <c r="J51" s="94">
        <f t="shared" si="88"/>
        <v>5377.807229</v>
      </c>
    </row>
    <row r="52" ht="14.25" customHeight="1">
      <c r="A52" s="88" t="str">
        <f t="shared" si="79"/>
        <v>2024Q1</v>
      </c>
      <c r="B52" s="92">
        <f t="shared" si="80"/>
        <v>0.07741027445</v>
      </c>
      <c r="C52" s="92">
        <f t="shared" si="83"/>
        <v>0.06184061029</v>
      </c>
      <c r="D52" s="92">
        <f t="shared" si="86"/>
        <v>0.06580513518</v>
      </c>
      <c r="E52" s="93">
        <f t="shared" si="81"/>
        <v>7449.75</v>
      </c>
      <c r="F52" s="93">
        <f t="shared" si="84"/>
        <v>9027.650919</v>
      </c>
      <c r="G52" s="93">
        <f t="shared" si="87"/>
        <v>8101.485788</v>
      </c>
      <c r="H52" s="94">
        <f t="shared" si="82"/>
        <v>5074.133127</v>
      </c>
      <c r="I52" s="94">
        <f t="shared" si="85"/>
        <v>5503.256</v>
      </c>
      <c r="J52" s="94">
        <f t="shared" si="88"/>
        <v>5578.781139</v>
      </c>
    </row>
    <row r="53" ht="14.25" customHeight="1">
      <c r="A53" s="88" t="str">
        <f t="shared" si="79"/>
        <v>2024Q2</v>
      </c>
      <c r="B53" s="92">
        <f t="shared" si="80"/>
        <v>0.07881773399</v>
      </c>
      <c r="C53" s="92">
        <f t="shared" si="83"/>
        <v>0.06232754423</v>
      </c>
      <c r="D53" s="92">
        <f t="shared" si="86"/>
        <v>0.05832341439</v>
      </c>
      <c r="E53" s="93">
        <f t="shared" si="81"/>
        <v>7779.799107</v>
      </c>
      <c r="F53" s="93">
        <f t="shared" si="84"/>
        <v>9029.882813</v>
      </c>
      <c r="G53" s="93">
        <f t="shared" si="87"/>
        <v>7425</v>
      </c>
      <c r="H53" s="94">
        <f t="shared" si="82"/>
        <v>5155.843195</v>
      </c>
      <c r="I53" s="94">
        <f t="shared" si="85"/>
        <v>5301.949541</v>
      </c>
      <c r="J53" s="94">
        <f t="shared" si="88"/>
        <v>4878.87931</v>
      </c>
    </row>
    <row r="54" ht="14.25" customHeight="1">
      <c r="A54" s="95" t="str">
        <f t="shared" si="79"/>
        <v>2024Q3</v>
      </c>
      <c r="B54" s="92">
        <f t="shared" si="80"/>
        <v>0.08092892329</v>
      </c>
      <c r="C54" s="92">
        <f t="shared" si="83"/>
        <v>0.0569712709</v>
      </c>
      <c r="D54" s="92">
        <f t="shared" si="86"/>
        <v>0.0605339228</v>
      </c>
      <c r="E54" s="93">
        <f t="shared" si="81"/>
        <v>6290.086957</v>
      </c>
      <c r="F54" s="93">
        <f t="shared" si="84"/>
        <v>6877.037037</v>
      </c>
      <c r="G54" s="93">
        <f t="shared" si="87"/>
        <v>6325.772472</v>
      </c>
      <c r="H54" s="94">
        <f t="shared" si="82"/>
        <v>4145.329513</v>
      </c>
      <c r="I54" s="94">
        <f t="shared" si="85"/>
        <v>4302.745098</v>
      </c>
      <c r="J54" s="94">
        <f t="shared" si="88"/>
        <v>4347.442085</v>
      </c>
    </row>
    <row r="55" ht="14.25" customHeight="1">
      <c r="A55" s="88" t="str">
        <f t="shared" si="79"/>
        <v>2024Q4</v>
      </c>
      <c r="B55" s="92">
        <f t="shared" si="80"/>
        <v>0.1094299789</v>
      </c>
      <c r="C55" s="92">
        <f t="shared" si="83"/>
        <v>0.1205973056</v>
      </c>
      <c r="D55" s="92">
        <f t="shared" si="86"/>
        <v>0.1322904268</v>
      </c>
      <c r="E55" s="93">
        <f t="shared" si="81"/>
        <v>8661.527331</v>
      </c>
      <c r="F55" s="93">
        <f t="shared" si="84"/>
        <v>10151.60834</v>
      </c>
      <c r="G55" s="93">
        <f t="shared" si="87"/>
        <v>9364.280206</v>
      </c>
      <c r="H55" s="94">
        <f t="shared" si="82"/>
        <v>5150.544933</v>
      </c>
      <c r="I55" s="94">
        <f t="shared" si="85"/>
        <v>5529.798387</v>
      </c>
      <c r="J55" s="94">
        <f t="shared" si="88"/>
        <v>5604.161538</v>
      </c>
    </row>
    <row r="56" ht="14.25" customHeight="1">
      <c r="A56" s="37"/>
    </row>
    <row r="57" ht="14.25" customHeight="1">
      <c r="A57" s="37"/>
    </row>
    <row r="58" ht="14.25" customHeight="1">
      <c r="A58" s="37"/>
    </row>
    <row r="59" ht="14.25" customHeight="1">
      <c r="A59" s="37"/>
    </row>
    <row r="60" ht="14.25" customHeight="1">
      <c r="A60" s="37"/>
    </row>
    <row r="61" ht="14.25" customHeight="1">
      <c r="A61" s="37"/>
    </row>
    <row r="62" ht="14.25" customHeight="1">
      <c r="A62" s="37"/>
    </row>
    <row r="63" ht="14.25" customHeight="1">
      <c r="A63" s="37"/>
    </row>
    <row r="64" ht="14.25" customHeight="1">
      <c r="A64" s="37"/>
    </row>
    <row r="65" ht="14.25" customHeight="1">
      <c r="A65" s="37"/>
    </row>
    <row r="66" ht="14.25" customHeight="1">
      <c r="A66" s="37"/>
    </row>
    <row r="67" ht="14.25" customHeight="1">
      <c r="A67" s="37"/>
    </row>
    <row r="68" ht="14.25" customHeight="1">
      <c r="A68" s="37"/>
    </row>
    <row r="69" ht="14.25" customHeight="1">
      <c r="A69" s="37"/>
    </row>
    <row r="70" ht="14.25" customHeight="1">
      <c r="A70" s="37"/>
    </row>
    <row r="71" ht="14.25" customHeight="1">
      <c r="A71" s="37"/>
    </row>
    <row r="72" ht="14.25" customHeight="1">
      <c r="A72" s="37"/>
    </row>
    <row r="73" ht="14.25" customHeight="1">
      <c r="A73" s="37"/>
    </row>
    <row r="74" ht="14.25" customHeight="1">
      <c r="A74" s="37"/>
    </row>
    <row r="75" ht="14.25" customHeight="1">
      <c r="A75" s="37"/>
    </row>
    <row r="76" ht="14.25" customHeight="1">
      <c r="A76" s="37"/>
    </row>
    <row r="77" ht="14.25" customHeight="1">
      <c r="A77" s="37"/>
    </row>
    <row r="78" ht="14.25" customHeight="1">
      <c r="A78" s="37"/>
    </row>
    <row r="79" ht="14.25" customHeight="1">
      <c r="A79" s="37"/>
    </row>
    <row r="80" ht="14.25" customHeight="1">
      <c r="A80" s="37"/>
    </row>
    <row r="81" ht="14.25" customHeight="1">
      <c r="A81" s="37"/>
    </row>
    <row r="82" ht="14.25" customHeight="1">
      <c r="A82" s="37"/>
    </row>
    <row r="83" ht="14.25" customHeight="1">
      <c r="A83" s="37"/>
    </row>
    <row r="84" ht="14.25" customHeight="1">
      <c r="A84" s="37"/>
    </row>
    <row r="85" ht="14.25" customHeight="1">
      <c r="A85" s="37"/>
    </row>
    <row r="86" ht="14.25" customHeight="1">
      <c r="A86" s="37"/>
    </row>
    <row r="87" ht="14.25" customHeight="1">
      <c r="A87" s="37"/>
    </row>
    <row r="88" ht="14.25" customHeight="1">
      <c r="A88" s="37"/>
    </row>
    <row r="89" ht="14.25" customHeight="1">
      <c r="A89" s="37"/>
    </row>
    <row r="90" ht="14.25" customHeight="1">
      <c r="A90" s="37"/>
    </row>
    <row r="91" ht="14.25" customHeight="1">
      <c r="A91" s="37"/>
    </row>
    <row r="92" ht="14.25" customHeight="1">
      <c r="A92" s="37"/>
    </row>
    <row r="93" ht="14.25" customHeight="1">
      <c r="A93" s="37"/>
    </row>
    <row r="94" ht="14.25" customHeight="1">
      <c r="A94" s="37"/>
    </row>
    <row r="95" ht="14.25" customHeight="1">
      <c r="A95" s="37"/>
    </row>
    <row r="96" ht="14.25" customHeight="1">
      <c r="A96" s="37"/>
    </row>
    <row r="97" ht="14.25" customHeight="1">
      <c r="A97" s="37"/>
    </row>
    <row r="98" ht="14.25" customHeight="1">
      <c r="A98" s="37"/>
    </row>
    <row r="99" ht="14.25" customHeight="1">
      <c r="A99" s="37"/>
    </row>
    <row r="100" ht="14.25" customHeight="1">
      <c r="A100" s="37"/>
    </row>
    <row r="101" ht="14.25" customHeight="1">
      <c r="A101" s="37"/>
    </row>
    <row r="102" ht="14.25" customHeight="1">
      <c r="A102" s="37"/>
    </row>
    <row r="103" ht="14.25" customHeight="1">
      <c r="A103" s="37"/>
    </row>
    <row r="104" ht="14.25" customHeight="1">
      <c r="A104" s="37"/>
    </row>
    <row r="105" ht="14.25" customHeight="1">
      <c r="A105" s="37"/>
    </row>
    <row r="106" ht="14.25" customHeight="1">
      <c r="A106" s="37"/>
    </row>
    <row r="107" ht="14.25" customHeight="1">
      <c r="A107" s="37"/>
    </row>
    <row r="108" ht="14.25" customHeight="1">
      <c r="A108" s="37"/>
    </row>
    <row r="109" ht="14.25" customHeight="1">
      <c r="A109" s="37"/>
    </row>
    <row r="110" ht="14.25" customHeight="1">
      <c r="A110" s="37"/>
    </row>
    <row r="111" ht="14.25" customHeight="1">
      <c r="A111" s="37"/>
    </row>
    <row r="112" ht="14.25" customHeight="1">
      <c r="A112" s="37"/>
    </row>
    <row r="113" ht="14.25" customHeight="1">
      <c r="A113" s="37"/>
    </row>
    <row r="114" ht="14.25" customHeight="1">
      <c r="A114" s="37"/>
    </row>
    <row r="115" ht="14.25" customHeight="1">
      <c r="A115" s="37"/>
    </row>
    <row r="116" ht="14.25" customHeight="1">
      <c r="A116" s="37"/>
    </row>
    <row r="117" ht="14.25" customHeight="1">
      <c r="A117" s="37"/>
    </row>
    <row r="118" ht="14.25" customHeight="1">
      <c r="A118" s="37"/>
    </row>
    <row r="119" ht="14.25" customHeight="1">
      <c r="A119" s="37"/>
    </row>
    <row r="120" ht="14.25" customHeight="1">
      <c r="A120" s="37"/>
    </row>
    <row r="121" ht="14.25" customHeight="1">
      <c r="A121" s="37"/>
    </row>
    <row r="122" ht="14.25" customHeight="1">
      <c r="A122" s="37"/>
    </row>
    <row r="123" ht="14.25" customHeight="1">
      <c r="A123" s="37"/>
    </row>
    <row r="124" ht="14.25" customHeight="1">
      <c r="A124" s="37"/>
    </row>
    <row r="125" ht="14.25" customHeight="1">
      <c r="A125" s="37"/>
    </row>
    <row r="126" ht="14.25" customHeight="1">
      <c r="A126" s="37"/>
    </row>
    <row r="127" ht="14.25" customHeight="1">
      <c r="A127" s="37"/>
    </row>
    <row r="128" ht="14.25" customHeight="1">
      <c r="A128" s="37"/>
    </row>
    <row r="129" ht="14.25" customHeight="1">
      <c r="A129" s="37"/>
    </row>
    <row r="130" ht="14.25" customHeight="1">
      <c r="A130" s="37"/>
    </row>
    <row r="131" ht="14.25" customHeight="1">
      <c r="A131" s="37"/>
    </row>
    <row r="132" ht="14.25" customHeight="1">
      <c r="A132" s="37"/>
    </row>
    <row r="133" ht="14.25" customHeight="1">
      <c r="A133" s="37"/>
    </row>
    <row r="134" ht="14.25" customHeight="1">
      <c r="A134" s="37"/>
    </row>
    <row r="135" ht="14.25" customHeight="1">
      <c r="A135" s="37"/>
    </row>
    <row r="136" ht="14.25" customHeight="1">
      <c r="A136" s="37"/>
    </row>
    <row r="137" ht="14.25" customHeight="1">
      <c r="A137" s="37"/>
    </row>
    <row r="138" ht="14.25" customHeight="1">
      <c r="A138" s="37"/>
    </row>
    <row r="139" ht="14.25" customHeight="1">
      <c r="A139" s="37"/>
    </row>
    <row r="140" ht="14.25" customHeight="1">
      <c r="A140" s="37"/>
    </row>
    <row r="141" ht="14.25" customHeight="1">
      <c r="A141" s="37"/>
    </row>
    <row r="142" ht="14.25" customHeight="1">
      <c r="A142" s="37"/>
    </row>
    <row r="143" ht="14.25" customHeight="1">
      <c r="A143" s="37"/>
    </row>
    <row r="144" ht="14.25" customHeight="1">
      <c r="A144" s="37"/>
    </row>
    <row r="145" ht="14.25" customHeight="1">
      <c r="A145" s="37"/>
    </row>
    <row r="146" ht="14.25" customHeight="1">
      <c r="A146" s="37"/>
    </row>
    <row r="147" ht="14.25" customHeight="1">
      <c r="A147" s="37"/>
    </row>
    <row r="148" ht="14.25" customHeight="1">
      <c r="A148" s="37"/>
    </row>
    <row r="149" ht="14.25" customHeight="1">
      <c r="A149" s="37"/>
    </row>
    <row r="150" ht="14.25" customHeight="1">
      <c r="A150" s="37"/>
    </row>
    <row r="151" ht="14.25" customHeight="1">
      <c r="A151" s="37"/>
    </row>
    <row r="152" ht="14.25" customHeight="1">
      <c r="A152" s="37"/>
    </row>
    <row r="153" ht="14.25" customHeight="1">
      <c r="A153" s="37"/>
    </row>
    <row r="154" ht="14.25" customHeight="1">
      <c r="A154" s="37"/>
    </row>
    <row r="155" ht="14.25" customHeight="1">
      <c r="A155" s="37"/>
    </row>
    <row r="156" ht="14.25" customHeight="1">
      <c r="A156" s="37"/>
    </row>
    <row r="157" ht="14.25" customHeight="1">
      <c r="A157" s="37"/>
    </row>
    <row r="158" ht="14.25" customHeight="1">
      <c r="A158" s="37"/>
    </row>
    <row r="159" ht="14.25" customHeight="1">
      <c r="A159" s="37"/>
    </row>
    <row r="160" ht="14.25" customHeight="1">
      <c r="A160" s="37"/>
    </row>
    <row r="161" ht="14.25" customHeight="1">
      <c r="A161" s="37"/>
    </row>
    <row r="162" ht="14.25" customHeight="1">
      <c r="A162" s="37"/>
    </row>
    <row r="163" ht="14.25" customHeight="1">
      <c r="A163" s="37"/>
    </row>
    <row r="164" ht="14.25" customHeight="1">
      <c r="A164" s="37"/>
    </row>
    <row r="165" ht="14.25" customHeight="1">
      <c r="A165" s="37"/>
    </row>
    <row r="166" ht="14.25" customHeight="1">
      <c r="A166" s="37"/>
    </row>
    <row r="167" ht="14.25" customHeight="1">
      <c r="A167" s="37"/>
    </row>
    <row r="168" ht="14.25" customHeight="1">
      <c r="A168" s="37"/>
    </row>
    <row r="169" ht="14.25" customHeight="1">
      <c r="A169" s="37"/>
    </row>
    <row r="170" ht="14.25" customHeight="1">
      <c r="A170" s="37"/>
    </row>
    <row r="171" ht="14.25" customHeight="1">
      <c r="A171" s="37"/>
    </row>
    <row r="172" ht="14.25" customHeight="1">
      <c r="A172" s="37"/>
    </row>
    <row r="173" ht="14.25" customHeight="1">
      <c r="A173" s="37"/>
    </row>
    <row r="174" ht="14.25" customHeight="1">
      <c r="A174" s="37"/>
    </row>
    <row r="175" ht="14.25" customHeight="1">
      <c r="A175" s="37"/>
    </row>
    <row r="176" ht="14.25" customHeight="1">
      <c r="A176" s="37"/>
    </row>
    <row r="177" ht="14.25" customHeight="1">
      <c r="A177" s="37"/>
    </row>
    <row r="178" ht="14.25" customHeight="1">
      <c r="A178" s="37"/>
    </row>
    <row r="179" ht="14.25" customHeight="1">
      <c r="A179" s="37"/>
    </row>
    <row r="180" ht="14.25" customHeight="1">
      <c r="A180" s="37"/>
    </row>
    <row r="181" ht="14.25" customHeight="1">
      <c r="A181" s="37"/>
    </row>
    <row r="182" ht="14.25" customHeight="1">
      <c r="A182" s="37"/>
    </row>
    <row r="183" ht="14.25" customHeight="1">
      <c r="A183" s="37"/>
    </row>
    <row r="184" ht="14.25" customHeight="1">
      <c r="A184" s="37"/>
    </row>
    <row r="185" ht="14.25" customHeight="1">
      <c r="A185" s="37"/>
    </row>
    <row r="186" ht="14.25" customHeight="1">
      <c r="A186" s="37"/>
    </row>
    <row r="187" ht="14.25" customHeight="1">
      <c r="A187" s="37"/>
    </row>
    <row r="188" ht="14.25" customHeight="1">
      <c r="A188" s="37"/>
    </row>
    <row r="189" ht="14.25" customHeight="1">
      <c r="A189" s="37"/>
    </row>
    <row r="190" ht="14.25" customHeight="1">
      <c r="A190" s="37"/>
    </row>
    <row r="191" ht="14.25" customHeight="1">
      <c r="A191" s="37"/>
    </row>
    <row r="192" ht="14.25" customHeight="1">
      <c r="A192" s="37"/>
    </row>
    <row r="193" ht="14.25" customHeight="1">
      <c r="A193" s="37"/>
    </row>
    <row r="194" ht="14.25" customHeight="1">
      <c r="A194" s="37"/>
    </row>
    <row r="195" ht="14.25" customHeight="1">
      <c r="A195" s="37"/>
    </row>
    <row r="196" ht="14.25" customHeight="1">
      <c r="A196" s="37"/>
    </row>
    <row r="197" ht="14.25" customHeight="1">
      <c r="A197" s="37"/>
    </row>
    <row r="198" ht="14.25" customHeight="1">
      <c r="A198" s="37"/>
    </row>
    <row r="199" ht="14.25" customHeight="1">
      <c r="A199" s="37"/>
    </row>
    <row r="200" ht="14.25" customHeight="1">
      <c r="A200" s="37"/>
    </row>
    <row r="201" ht="14.25" customHeight="1">
      <c r="A201" s="37"/>
    </row>
    <row r="202" ht="14.25" customHeight="1">
      <c r="A202" s="37"/>
    </row>
    <row r="203" ht="14.25" customHeight="1">
      <c r="A203" s="37"/>
    </row>
    <row r="204" ht="14.25" customHeight="1">
      <c r="A204" s="37"/>
    </row>
    <row r="205" ht="14.25" customHeight="1">
      <c r="A205" s="37"/>
    </row>
    <row r="206" ht="14.25" customHeight="1">
      <c r="A206" s="37"/>
    </row>
    <row r="207" ht="14.25" customHeight="1">
      <c r="A207" s="37"/>
    </row>
    <row r="208" ht="14.25" customHeight="1">
      <c r="A208" s="37"/>
    </row>
    <row r="209" ht="14.25" customHeight="1">
      <c r="A209" s="37"/>
    </row>
    <row r="210" ht="14.25" customHeight="1">
      <c r="A210" s="37"/>
    </row>
    <row r="211" ht="14.25" customHeight="1">
      <c r="A211" s="37"/>
    </row>
    <row r="212" ht="14.25" customHeight="1">
      <c r="A212" s="37"/>
    </row>
    <row r="213" ht="14.25" customHeight="1">
      <c r="A213" s="37"/>
    </row>
    <row r="214" ht="14.25" customHeight="1">
      <c r="A214" s="37"/>
    </row>
    <row r="215" ht="14.25" customHeight="1">
      <c r="A215" s="37"/>
    </row>
    <row r="216" ht="14.25" customHeight="1">
      <c r="A216" s="37"/>
    </row>
    <row r="217" ht="14.25" customHeight="1">
      <c r="A217" s="37"/>
    </row>
    <row r="218" ht="14.25" customHeight="1">
      <c r="A218" s="37"/>
    </row>
    <row r="219" ht="14.25" customHeight="1">
      <c r="A219" s="37"/>
    </row>
    <row r="220" ht="14.25" customHeight="1">
      <c r="A220" s="37"/>
    </row>
    <row r="221" ht="14.25" customHeight="1">
      <c r="A221" s="37"/>
    </row>
    <row r="222" ht="14.25" customHeight="1">
      <c r="A222" s="37"/>
    </row>
    <row r="223" ht="14.25" customHeight="1">
      <c r="A223" s="37"/>
    </row>
    <row r="224" ht="14.25" customHeight="1">
      <c r="A224" s="37"/>
    </row>
    <row r="225" ht="14.25" customHeight="1">
      <c r="A225" s="37"/>
    </row>
    <row r="226" ht="14.25" customHeight="1">
      <c r="A226" s="37"/>
    </row>
    <row r="227" ht="14.25" customHeight="1">
      <c r="A227" s="37"/>
    </row>
    <row r="228" ht="14.25" customHeight="1">
      <c r="A228" s="37"/>
    </row>
    <row r="229" ht="14.25" customHeight="1">
      <c r="A229" s="37"/>
    </row>
    <row r="230" ht="14.25" customHeight="1">
      <c r="A230" s="37"/>
    </row>
    <row r="231" ht="14.25" customHeight="1">
      <c r="A231" s="37"/>
    </row>
    <row r="232" ht="14.25" customHeight="1">
      <c r="A232" s="37"/>
    </row>
    <row r="233" ht="14.25" customHeight="1">
      <c r="A233" s="37"/>
    </row>
    <row r="234" ht="14.25" customHeight="1">
      <c r="A234" s="37"/>
    </row>
    <row r="235" ht="14.25" customHeight="1">
      <c r="A235" s="37"/>
    </row>
    <row r="236" ht="14.25" customHeight="1">
      <c r="A236" s="37"/>
    </row>
    <row r="237" ht="14.25" customHeight="1">
      <c r="A237" s="37"/>
    </row>
    <row r="238" ht="14.25" customHeight="1">
      <c r="A238" s="37"/>
    </row>
    <row r="239" ht="14.25" customHeight="1">
      <c r="A239" s="37"/>
    </row>
    <row r="240" ht="14.25" customHeight="1">
      <c r="A240" s="37"/>
    </row>
    <row r="241" ht="14.25" customHeight="1">
      <c r="A241" s="37"/>
    </row>
    <row r="242" ht="14.25" customHeight="1">
      <c r="A242" s="37"/>
    </row>
    <row r="243" ht="14.25" customHeight="1">
      <c r="A243" s="37"/>
    </row>
    <row r="244" ht="14.25" customHeight="1">
      <c r="A244" s="37"/>
    </row>
    <row r="245" ht="14.25" customHeight="1">
      <c r="A245" s="37"/>
    </row>
    <row r="246" ht="14.25" customHeight="1">
      <c r="A246" s="37"/>
    </row>
    <row r="247" ht="14.25" customHeight="1">
      <c r="A247" s="37"/>
    </row>
    <row r="248" ht="14.25" customHeight="1">
      <c r="A248" s="37"/>
    </row>
    <row r="249" ht="14.25" customHeight="1">
      <c r="A249" s="37"/>
    </row>
    <row r="250" ht="14.25" customHeight="1">
      <c r="A250" s="37"/>
    </row>
    <row r="251" ht="14.25" customHeight="1">
      <c r="A251" s="37"/>
    </row>
    <row r="252" ht="14.25" customHeight="1">
      <c r="A252" s="37"/>
    </row>
    <row r="253" ht="14.25" customHeight="1">
      <c r="A253" s="37"/>
    </row>
    <row r="254" ht="14.25" customHeight="1">
      <c r="A254" s="37"/>
    </row>
    <row r="255" ht="14.25" customHeight="1">
      <c r="A255" s="37"/>
    </row>
    <row r="256" ht="14.25" customHeight="1">
      <c r="A256" s="37"/>
    </row>
    <row r="257" ht="14.25" customHeight="1">
      <c r="A257" s="37"/>
    </row>
    <row r="258" ht="14.25" customHeight="1">
      <c r="A258" s="37"/>
    </row>
    <row r="259" ht="14.25" customHeight="1">
      <c r="A259" s="37"/>
    </row>
    <row r="260" ht="14.25" customHeight="1">
      <c r="A260" s="37"/>
    </row>
    <row r="261" ht="14.25" customHeight="1">
      <c r="A261" s="37"/>
    </row>
    <row r="262" ht="14.25" customHeight="1">
      <c r="A262" s="37"/>
    </row>
    <row r="263" ht="14.25" customHeight="1">
      <c r="A263" s="37"/>
    </row>
    <row r="264" ht="14.25" customHeight="1">
      <c r="A264" s="37"/>
    </row>
    <row r="265" ht="14.25" customHeight="1">
      <c r="A265" s="37"/>
    </row>
    <row r="266" ht="14.25" customHeight="1">
      <c r="A266" s="37"/>
    </row>
    <row r="267" ht="14.25" customHeight="1">
      <c r="A267" s="37"/>
    </row>
    <row r="268" ht="14.25" customHeight="1">
      <c r="A268" s="37"/>
    </row>
    <row r="269" ht="14.25" customHeight="1">
      <c r="A269" s="37"/>
    </row>
    <row r="270" ht="14.25" customHeight="1">
      <c r="A270" s="37"/>
    </row>
    <row r="271" ht="14.25" customHeight="1">
      <c r="A271" s="37"/>
    </row>
    <row r="272" ht="14.25" customHeight="1">
      <c r="A272" s="37"/>
    </row>
    <row r="273" ht="14.25" customHeight="1">
      <c r="A273" s="37"/>
    </row>
    <row r="274" ht="14.25" customHeight="1">
      <c r="A274" s="37"/>
    </row>
    <row r="275" ht="14.25" customHeight="1">
      <c r="A275" s="37"/>
    </row>
    <row r="276" ht="14.25" customHeight="1">
      <c r="A276" s="37"/>
    </row>
    <row r="277" ht="14.25" customHeight="1">
      <c r="A277" s="37"/>
    </row>
    <row r="278" ht="14.25" customHeight="1">
      <c r="A278" s="37"/>
    </row>
    <row r="279" ht="14.25" customHeight="1">
      <c r="A279" s="37"/>
    </row>
    <row r="280" ht="14.25" customHeight="1">
      <c r="A280" s="37"/>
    </row>
    <row r="281" ht="14.25" customHeight="1">
      <c r="A281" s="37"/>
    </row>
    <row r="282" ht="14.25" customHeight="1">
      <c r="A282" s="37"/>
    </row>
    <row r="283" ht="14.25" customHeight="1">
      <c r="A283" s="37"/>
    </row>
    <row r="284" ht="14.25" customHeight="1">
      <c r="A284" s="37"/>
    </row>
    <row r="285" ht="14.25" customHeight="1">
      <c r="A285" s="37"/>
    </row>
    <row r="286" ht="14.25" customHeight="1">
      <c r="A286" s="37"/>
    </row>
    <row r="287" ht="14.25" customHeight="1">
      <c r="A287" s="37"/>
    </row>
    <row r="288" ht="14.25" customHeight="1">
      <c r="A288" s="37"/>
    </row>
    <row r="289" ht="14.25" customHeight="1">
      <c r="A289" s="37"/>
    </row>
    <row r="290" ht="14.25" customHeight="1">
      <c r="A290" s="37"/>
    </row>
    <row r="291" ht="14.25" customHeight="1">
      <c r="A291" s="37"/>
    </row>
    <row r="292" ht="14.25" customHeight="1">
      <c r="A292" s="37"/>
    </row>
    <row r="293" ht="14.25" customHeight="1">
      <c r="A293" s="37"/>
    </row>
    <row r="294" ht="14.25" customHeight="1">
      <c r="A294" s="37"/>
    </row>
    <row r="295" ht="14.25" customHeight="1">
      <c r="A295" s="37"/>
    </row>
    <row r="296" ht="14.25" customHeight="1">
      <c r="A296" s="37"/>
    </row>
    <row r="297" ht="14.25" customHeight="1">
      <c r="A297" s="37"/>
    </row>
    <row r="298" ht="14.25" customHeight="1">
      <c r="A298" s="37"/>
    </row>
    <row r="299" ht="14.25" customHeight="1">
      <c r="A299" s="37"/>
    </row>
    <row r="300" ht="14.25" customHeight="1">
      <c r="A300" s="37"/>
    </row>
    <row r="301" ht="14.25" customHeight="1">
      <c r="A301" s="37"/>
    </row>
    <row r="302" ht="14.25" customHeight="1">
      <c r="A302" s="37"/>
    </row>
    <row r="303" ht="14.25" customHeight="1">
      <c r="A303" s="37"/>
    </row>
    <row r="304" ht="14.25" customHeight="1">
      <c r="A304" s="37"/>
    </row>
    <row r="305" ht="14.25" customHeight="1">
      <c r="A305" s="37"/>
    </row>
    <row r="306" ht="14.25" customHeight="1">
      <c r="A306" s="37"/>
    </row>
    <row r="307" ht="14.25" customHeight="1">
      <c r="A307" s="37"/>
    </row>
    <row r="308" ht="14.25" customHeight="1">
      <c r="A308" s="37"/>
    </row>
    <row r="309" ht="14.25" customHeight="1">
      <c r="A309" s="37"/>
    </row>
    <row r="310" ht="14.25" customHeight="1">
      <c r="A310" s="37"/>
    </row>
    <row r="311" ht="14.25" customHeight="1">
      <c r="A311" s="37"/>
    </row>
    <row r="312" ht="14.25" customHeight="1">
      <c r="A312" s="37"/>
    </row>
    <row r="313" ht="14.25" customHeight="1">
      <c r="A313" s="37"/>
    </row>
    <row r="314" ht="14.25" customHeight="1">
      <c r="A314" s="37"/>
    </row>
    <row r="315" ht="14.25" customHeight="1">
      <c r="A315" s="37"/>
    </row>
    <row r="316" ht="14.25" customHeight="1">
      <c r="A316" s="37"/>
    </row>
    <row r="317" ht="14.25" customHeight="1">
      <c r="A317" s="37"/>
    </row>
    <row r="318" ht="14.25" customHeight="1">
      <c r="A318" s="37"/>
    </row>
    <row r="319" ht="14.25" customHeight="1">
      <c r="A319" s="37"/>
    </row>
    <row r="320" ht="14.25" customHeight="1">
      <c r="A320" s="37"/>
    </row>
    <row r="321" ht="14.25" customHeight="1">
      <c r="A321" s="37"/>
    </row>
    <row r="322" ht="14.25" customHeight="1">
      <c r="A322" s="37"/>
    </row>
    <row r="323" ht="14.25" customHeight="1">
      <c r="A323" s="37"/>
    </row>
    <row r="324" ht="14.25" customHeight="1">
      <c r="A324" s="37"/>
    </row>
    <row r="325" ht="14.25" customHeight="1">
      <c r="A325" s="37"/>
    </row>
    <row r="326" ht="14.25" customHeight="1">
      <c r="A326" s="37"/>
    </row>
    <row r="327" ht="14.25" customHeight="1">
      <c r="A327" s="37"/>
    </row>
    <row r="328" ht="14.25" customHeight="1">
      <c r="A328" s="37"/>
    </row>
    <row r="329" ht="14.25" customHeight="1">
      <c r="A329" s="37"/>
    </row>
    <row r="330" ht="14.25" customHeight="1">
      <c r="A330" s="37"/>
    </row>
    <row r="331" ht="14.25" customHeight="1">
      <c r="A331" s="37"/>
    </row>
    <row r="332" ht="14.25" customHeight="1">
      <c r="A332" s="37"/>
    </row>
    <row r="333" ht="14.25" customHeight="1">
      <c r="A333" s="37"/>
    </row>
    <row r="334" ht="14.25" customHeight="1">
      <c r="A334" s="37"/>
    </row>
    <row r="335" ht="14.25" customHeight="1">
      <c r="A335" s="37"/>
    </row>
    <row r="336" ht="14.25" customHeight="1">
      <c r="A336" s="37"/>
    </row>
    <row r="337" ht="14.25" customHeight="1">
      <c r="A337" s="37"/>
    </row>
    <row r="338" ht="14.25" customHeight="1">
      <c r="A338" s="37"/>
    </row>
    <row r="339" ht="14.25" customHeight="1">
      <c r="A339" s="37"/>
    </row>
    <row r="340" ht="14.25" customHeight="1">
      <c r="A340" s="37"/>
    </row>
    <row r="341" ht="14.25" customHeight="1">
      <c r="A341" s="37"/>
    </row>
    <row r="342" ht="14.25" customHeight="1">
      <c r="A342" s="37"/>
    </row>
    <row r="343" ht="14.25" customHeight="1">
      <c r="A343" s="37"/>
    </row>
    <row r="344" ht="14.25" customHeight="1">
      <c r="A344" s="37"/>
    </row>
    <row r="345" ht="14.25" customHeight="1">
      <c r="A345" s="37"/>
    </row>
    <row r="346" ht="14.25" customHeight="1">
      <c r="A346" s="37"/>
    </row>
    <row r="347" ht="14.25" customHeight="1">
      <c r="A347" s="37"/>
    </row>
    <row r="348" ht="14.25" customHeight="1">
      <c r="A348" s="37"/>
    </row>
    <row r="349" ht="14.25" customHeight="1">
      <c r="A349" s="37"/>
    </row>
    <row r="350" ht="14.25" customHeight="1">
      <c r="A350" s="37"/>
    </row>
    <row r="351" ht="14.25" customHeight="1">
      <c r="A351" s="37"/>
    </row>
    <row r="352" ht="14.25" customHeight="1">
      <c r="A352" s="37"/>
    </row>
    <row r="353" ht="14.25" customHeight="1">
      <c r="A353" s="37"/>
    </row>
    <row r="354" ht="14.25" customHeight="1">
      <c r="A354" s="37"/>
    </row>
    <row r="355" ht="14.25" customHeight="1">
      <c r="A355" s="37"/>
    </row>
    <row r="356" ht="14.25" customHeight="1">
      <c r="A356" s="37"/>
    </row>
    <row r="357" ht="14.25" customHeight="1">
      <c r="A357" s="37"/>
    </row>
    <row r="358" ht="14.25" customHeight="1">
      <c r="A358" s="37"/>
    </row>
    <row r="359" ht="14.25" customHeight="1">
      <c r="A359" s="37"/>
    </row>
    <row r="360" ht="14.25" customHeight="1">
      <c r="A360" s="37"/>
    </row>
    <row r="361" ht="14.25" customHeight="1">
      <c r="A361" s="37"/>
    </row>
    <row r="362" ht="14.25" customHeight="1">
      <c r="A362" s="37"/>
    </row>
    <row r="363" ht="14.25" customHeight="1">
      <c r="A363" s="37"/>
    </row>
    <row r="364" ht="14.25" customHeight="1">
      <c r="A364" s="37"/>
    </row>
    <row r="365" ht="14.25" customHeight="1">
      <c r="A365" s="37"/>
    </row>
    <row r="366" ht="14.25" customHeight="1">
      <c r="A366" s="37"/>
    </row>
    <row r="367" ht="14.25" customHeight="1">
      <c r="A367" s="37"/>
    </row>
    <row r="368" ht="14.25" customHeight="1">
      <c r="A368" s="37"/>
    </row>
    <row r="369" ht="14.25" customHeight="1">
      <c r="A369" s="37"/>
    </row>
    <row r="370" ht="14.25" customHeight="1">
      <c r="A370" s="37"/>
    </row>
    <row r="371" ht="14.25" customHeight="1">
      <c r="A371" s="37"/>
    </row>
    <row r="372" ht="14.25" customHeight="1">
      <c r="A372" s="37"/>
    </row>
    <row r="373" ht="14.25" customHeight="1">
      <c r="A373" s="37"/>
    </row>
    <row r="374" ht="14.25" customHeight="1">
      <c r="A374" s="37"/>
    </row>
    <row r="375" ht="14.25" customHeight="1">
      <c r="A375" s="37"/>
    </row>
    <row r="376" ht="14.25" customHeight="1">
      <c r="A376" s="37"/>
    </row>
    <row r="377" ht="14.25" customHeight="1">
      <c r="A377" s="37"/>
    </row>
    <row r="378" ht="14.25" customHeight="1">
      <c r="A378" s="37"/>
    </row>
    <row r="379" ht="14.25" customHeight="1">
      <c r="A379" s="37"/>
    </row>
    <row r="380" ht="14.25" customHeight="1">
      <c r="A380" s="37"/>
    </row>
    <row r="381" ht="14.25" customHeight="1">
      <c r="A381" s="37"/>
    </row>
    <row r="382" ht="14.25" customHeight="1">
      <c r="A382" s="37"/>
    </row>
    <row r="383" ht="14.25" customHeight="1">
      <c r="A383" s="37"/>
    </row>
    <row r="384" ht="14.25" customHeight="1">
      <c r="A384" s="37"/>
    </row>
    <row r="385" ht="14.25" customHeight="1">
      <c r="A385" s="37"/>
    </row>
    <row r="386" ht="14.25" customHeight="1">
      <c r="A386" s="37"/>
    </row>
    <row r="387" ht="14.25" customHeight="1">
      <c r="A387" s="37"/>
    </row>
    <row r="388" ht="14.25" customHeight="1">
      <c r="A388" s="37"/>
    </row>
    <row r="389" ht="14.25" customHeight="1">
      <c r="A389" s="37"/>
    </row>
    <row r="390" ht="14.25" customHeight="1">
      <c r="A390" s="37"/>
    </row>
    <row r="391" ht="14.25" customHeight="1">
      <c r="A391" s="37"/>
    </row>
    <row r="392" ht="14.25" customHeight="1">
      <c r="A392" s="37"/>
    </row>
    <row r="393" ht="14.25" customHeight="1">
      <c r="A393" s="37"/>
    </row>
    <row r="394" ht="14.25" customHeight="1">
      <c r="A394" s="37"/>
    </row>
    <row r="395" ht="14.25" customHeight="1">
      <c r="A395" s="37"/>
    </row>
    <row r="396" ht="14.25" customHeight="1">
      <c r="A396" s="37"/>
    </row>
    <row r="397" ht="14.25" customHeight="1">
      <c r="A397" s="37"/>
    </row>
    <row r="398" ht="14.25" customHeight="1">
      <c r="A398" s="37"/>
    </row>
    <row r="399" ht="14.25" customHeight="1">
      <c r="A399" s="37"/>
    </row>
    <row r="400" ht="14.25" customHeight="1">
      <c r="A400" s="37"/>
    </row>
    <row r="401" ht="14.25" customHeight="1">
      <c r="A401" s="37"/>
    </row>
    <row r="402" ht="14.25" customHeight="1">
      <c r="A402" s="37"/>
    </row>
    <row r="403" ht="14.25" customHeight="1">
      <c r="A403" s="37"/>
    </row>
    <row r="404" ht="14.25" customHeight="1">
      <c r="A404" s="37"/>
    </row>
    <row r="405" ht="14.25" customHeight="1">
      <c r="A405" s="37"/>
    </row>
    <row r="406" ht="14.25" customHeight="1">
      <c r="A406" s="37"/>
    </row>
    <row r="407" ht="14.25" customHeight="1">
      <c r="A407" s="37"/>
    </row>
    <row r="408" ht="14.25" customHeight="1">
      <c r="A408" s="37"/>
    </row>
    <row r="409" ht="14.25" customHeight="1">
      <c r="A409" s="37"/>
    </row>
    <row r="410" ht="14.25" customHeight="1">
      <c r="A410" s="37"/>
    </row>
    <row r="411" ht="14.25" customHeight="1">
      <c r="A411" s="37"/>
    </row>
    <row r="412" ht="14.25" customHeight="1">
      <c r="A412" s="37"/>
    </row>
    <row r="413" ht="14.25" customHeight="1">
      <c r="A413" s="37"/>
    </row>
    <row r="414" ht="14.25" customHeight="1">
      <c r="A414" s="37"/>
    </row>
    <row r="415" ht="14.25" customHeight="1">
      <c r="A415" s="37"/>
    </row>
    <row r="416" ht="14.25" customHeight="1">
      <c r="A416" s="37"/>
    </row>
    <row r="417" ht="14.25" customHeight="1">
      <c r="A417" s="37"/>
    </row>
    <row r="418" ht="14.25" customHeight="1">
      <c r="A418" s="37"/>
    </row>
    <row r="419" ht="14.25" customHeight="1">
      <c r="A419" s="37"/>
    </row>
    <row r="420" ht="14.25" customHeight="1">
      <c r="A420" s="37"/>
    </row>
    <row r="421" ht="14.25" customHeight="1">
      <c r="A421" s="37"/>
    </row>
    <row r="422" ht="14.25" customHeight="1">
      <c r="A422" s="37"/>
    </row>
    <row r="423" ht="14.25" customHeight="1">
      <c r="A423" s="37"/>
    </row>
    <row r="424" ht="14.25" customHeight="1">
      <c r="A424" s="37"/>
    </row>
    <row r="425" ht="14.25" customHeight="1">
      <c r="A425" s="37"/>
    </row>
    <row r="426" ht="14.25" customHeight="1">
      <c r="A426" s="37"/>
    </row>
    <row r="427" ht="14.25" customHeight="1">
      <c r="A427" s="37"/>
    </row>
    <row r="428" ht="14.25" customHeight="1">
      <c r="A428" s="37"/>
    </row>
    <row r="429" ht="14.25" customHeight="1">
      <c r="A429" s="37"/>
    </row>
    <row r="430" ht="14.25" customHeight="1">
      <c r="A430" s="37"/>
    </row>
    <row r="431" ht="14.25" customHeight="1">
      <c r="A431" s="37"/>
    </row>
    <row r="432" ht="14.25" customHeight="1">
      <c r="A432" s="37"/>
    </row>
    <row r="433" ht="14.25" customHeight="1">
      <c r="A433" s="37"/>
    </row>
    <row r="434" ht="14.25" customHeight="1">
      <c r="A434" s="37"/>
    </row>
    <row r="435" ht="14.25" customHeight="1">
      <c r="A435" s="37"/>
    </row>
    <row r="436" ht="14.25" customHeight="1">
      <c r="A436" s="37"/>
    </row>
    <row r="437" ht="14.25" customHeight="1">
      <c r="A437" s="37"/>
    </row>
    <row r="438" ht="14.25" customHeight="1">
      <c r="A438" s="37"/>
    </row>
    <row r="439" ht="14.25" customHeight="1">
      <c r="A439" s="37"/>
    </row>
    <row r="440" ht="14.25" customHeight="1">
      <c r="A440" s="37"/>
    </row>
    <row r="441" ht="14.25" customHeight="1">
      <c r="A441" s="37"/>
    </row>
    <row r="442" ht="14.25" customHeight="1">
      <c r="A442" s="37"/>
    </row>
    <row r="443" ht="14.25" customHeight="1">
      <c r="A443" s="37"/>
    </row>
    <row r="444" ht="14.25" customHeight="1">
      <c r="A444" s="37"/>
    </row>
    <row r="445" ht="14.25" customHeight="1">
      <c r="A445" s="37"/>
    </row>
    <row r="446" ht="14.25" customHeight="1">
      <c r="A446" s="37"/>
    </row>
    <row r="447" ht="14.25" customHeight="1">
      <c r="A447" s="37"/>
    </row>
    <row r="448" ht="14.25" customHeight="1">
      <c r="A448" s="37"/>
    </row>
    <row r="449" ht="14.25" customHeight="1">
      <c r="A449" s="37"/>
    </row>
    <row r="450" ht="14.25" customHeight="1">
      <c r="A450" s="37"/>
    </row>
    <row r="451" ht="14.25" customHeight="1">
      <c r="A451" s="37"/>
    </row>
    <row r="452" ht="14.25" customHeight="1">
      <c r="A452" s="37"/>
    </row>
    <row r="453" ht="14.25" customHeight="1">
      <c r="A453" s="37"/>
    </row>
    <row r="454" ht="14.25" customHeight="1">
      <c r="A454" s="37"/>
    </row>
    <row r="455" ht="14.25" customHeight="1">
      <c r="A455" s="37"/>
    </row>
    <row r="456" ht="14.25" customHeight="1">
      <c r="A456" s="37"/>
    </row>
    <row r="457" ht="14.25" customHeight="1">
      <c r="A457" s="37"/>
    </row>
    <row r="458" ht="14.25" customHeight="1">
      <c r="A458" s="37"/>
    </row>
    <row r="459" ht="14.25" customHeight="1">
      <c r="A459" s="37"/>
    </row>
    <row r="460" ht="14.25" customHeight="1">
      <c r="A460" s="37"/>
    </row>
    <row r="461" ht="14.25" customHeight="1">
      <c r="A461" s="37"/>
    </row>
    <row r="462" ht="14.25" customHeight="1">
      <c r="A462" s="37"/>
    </row>
    <row r="463" ht="14.25" customHeight="1">
      <c r="A463" s="37"/>
    </row>
    <row r="464" ht="14.25" customHeight="1">
      <c r="A464" s="37"/>
    </row>
    <row r="465" ht="14.25" customHeight="1">
      <c r="A465" s="37"/>
    </row>
    <row r="466" ht="14.25" customHeight="1">
      <c r="A466" s="37"/>
    </row>
    <row r="467" ht="14.25" customHeight="1">
      <c r="A467" s="37"/>
    </row>
    <row r="468" ht="14.25" customHeight="1">
      <c r="A468" s="37"/>
    </row>
    <row r="469" ht="14.25" customHeight="1">
      <c r="A469" s="37"/>
    </row>
    <row r="470" ht="14.25" customHeight="1">
      <c r="A470" s="37"/>
    </row>
    <row r="471" ht="14.25" customHeight="1">
      <c r="A471" s="37"/>
    </row>
    <row r="472" ht="14.25" customHeight="1">
      <c r="A472" s="37"/>
    </row>
    <row r="473" ht="14.25" customHeight="1">
      <c r="A473" s="37"/>
    </row>
    <row r="474" ht="14.25" customHeight="1">
      <c r="A474" s="37"/>
    </row>
    <row r="475" ht="14.25" customHeight="1">
      <c r="A475" s="37"/>
    </row>
    <row r="476" ht="14.25" customHeight="1">
      <c r="A476" s="37"/>
    </row>
    <row r="477" ht="14.25" customHeight="1">
      <c r="A477" s="37"/>
    </row>
    <row r="478" ht="14.25" customHeight="1">
      <c r="A478" s="37"/>
    </row>
    <row r="479" ht="14.25" customHeight="1">
      <c r="A479" s="37"/>
    </row>
    <row r="480" ht="14.25" customHeight="1">
      <c r="A480" s="37"/>
    </row>
    <row r="481" ht="14.25" customHeight="1">
      <c r="A481" s="37"/>
    </row>
    <row r="482" ht="14.25" customHeight="1">
      <c r="A482" s="37"/>
    </row>
    <row r="483" ht="14.25" customHeight="1">
      <c r="A483" s="37"/>
    </row>
    <row r="484" ht="14.25" customHeight="1">
      <c r="A484" s="37"/>
    </row>
    <row r="485" ht="14.25" customHeight="1">
      <c r="A485" s="37"/>
    </row>
    <row r="486" ht="14.25" customHeight="1">
      <c r="A486" s="37"/>
    </row>
    <row r="487" ht="14.25" customHeight="1">
      <c r="A487" s="37"/>
    </row>
    <row r="488" ht="14.25" customHeight="1">
      <c r="A488" s="37"/>
    </row>
    <row r="489" ht="14.25" customHeight="1">
      <c r="A489" s="37"/>
    </row>
    <row r="490" ht="14.25" customHeight="1">
      <c r="A490" s="37"/>
    </row>
    <row r="491" ht="14.25" customHeight="1">
      <c r="A491" s="37"/>
    </row>
    <row r="492" ht="14.25" customHeight="1">
      <c r="A492" s="37"/>
    </row>
    <row r="493" ht="14.25" customHeight="1">
      <c r="A493" s="37"/>
    </row>
    <row r="494" ht="14.25" customHeight="1">
      <c r="A494" s="37"/>
    </row>
    <row r="495" ht="14.25" customHeight="1">
      <c r="A495" s="37"/>
    </row>
    <row r="496" ht="14.25" customHeight="1">
      <c r="A496" s="37"/>
    </row>
    <row r="497" ht="14.25" customHeight="1">
      <c r="A497" s="37"/>
    </row>
    <row r="498" ht="14.25" customHeight="1">
      <c r="A498" s="37"/>
    </row>
    <row r="499" ht="14.25" customHeight="1">
      <c r="A499" s="37"/>
    </row>
    <row r="500" ht="14.25" customHeight="1">
      <c r="A500" s="37"/>
    </row>
    <row r="501" ht="14.25" customHeight="1">
      <c r="A501" s="37"/>
    </row>
    <row r="502" ht="14.25" customHeight="1">
      <c r="A502" s="37"/>
    </row>
    <row r="503" ht="14.25" customHeight="1">
      <c r="A503" s="37"/>
    </row>
    <row r="504" ht="14.25" customHeight="1">
      <c r="A504" s="37"/>
    </row>
    <row r="505" ht="14.25" customHeight="1">
      <c r="A505" s="37"/>
    </row>
    <row r="506" ht="14.25" customHeight="1">
      <c r="A506" s="37"/>
    </row>
    <row r="507" ht="14.25" customHeight="1">
      <c r="A507" s="37"/>
    </row>
    <row r="508" ht="14.25" customHeight="1">
      <c r="A508" s="37"/>
    </row>
    <row r="509" ht="14.25" customHeight="1">
      <c r="A509" s="37"/>
    </row>
    <row r="510" ht="14.25" customHeight="1">
      <c r="A510" s="37"/>
    </row>
    <row r="511" ht="14.25" customHeight="1">
      <c r="A511" s="37"/>
    </row>
    <row r="512" ht="14.25" customHeight="1">
      <c r="A512" s="37"/>
    </row>
    <row r="513" ht="14.25" customHeight="1">
      <c r="A513" s="37"/>
    </row>
    <row r="514" ht="14.25" customHeight="1">
      <c r="A514" s="37"/>
    </row>
    <row r="515" ht="14.25" customHeight="1">
      <c r="A515" s="37"/>
    </row>
    <row r="516" ht="14.25" customHeight="1">
      <c r="A516" s="37"/>
    </row>
    <row r="517" ht="14.25" customHeight="1">
      <c r="A517" s="37"/>
    </row>
    <row r="518" ht="14.25" customHeight="1">
      <c r="A518" s="37"/>
    </row>
    <row r="519" ht="14.25" customHeight="1">
      <c r="A519" s="37"/>
    </row>
    <row r="520" ht="14.25" customHeight="1">
      <c r="A520" s="37"/>
    </row>
    <row r="521" ht="14.25" customHeight="1">
      <c r="A521" s="37"/>
    </row>
    <row r="522" ht="14.25" customHeight="1">
      <c r="A522" s="37"/>
    </row>
    <row r="523" ht="14.25" customHeight="1">
      <c r="A523" s="37"/>
    </row>
    <row r="524" ht="14.25" customHeight="1">
      <c r="A524" s="37"/>
    </row>
    <row r="525" ht="14.25" customHeight="1">
      <c r="A525" s="37"/>
    </row>
    <row r="526" ht="14.25" customHeight="1">
      <c r="A526" s="37"/>
    </row>
    <row r="527" ht="14.25" customHeight="1">
      <c r="A527" s="37"/>
    </row>
    <row r="528" ht="14.25" customHeight="1">
      <c r="A528" s="37"/>
    </row>
    <row r="529" ht="14.25" customHeight="1">
      <c r="A529" s="37"/>
    </row>
    <row r="530" ht="14.25" customHeight="1">
      <c r="A530" s="37"/>
    </row>
    <row r="531" ht="14.25" customHeight="1">
      <c r="A531" s="37"/>
    </row>
    <row r="532" ht="14.25" customHeight="1">
      <c r="A532" s="37"/>
    </row>
    <row r="533" ht="14.25" customHeight="1">
      <c r="A533" s="37"/>
    </row>
    <row r="534" ht="14.25" customHeight="1">
      <c r="A534" s="37"/>
    </row>
    <row r="535" ht="14.25" customHeight="1">
      <c r="A535" s="37"/>
    </row>
    <row r="536" ht="14.25" customHeight="1">
      <c r="A536" s="37"/>
    </row>
    <row r="537" ht="14.25" customHeight="1">
      <c r="A537" s="37"/>
    </row>
    <row r="538" ht="14.25" customHeight="1">
      <c r="A538" s="37"/>
    </row>
    <row r="539" ht="14.25" customHeight="1">
      <c r="A539" s="37"/>
    </row>
    <row r="540" ht="14.25" customHeight="1">
      <c r="A540" s="37"/>
    </row>
    <row r="541" ht="14.25" customHeight="1">
      <c r="A541" s="37"/>
    </row>
    <row r="542" ht="14.25" customHeight="1">
      <c r="A542" s="37"/>
    </row>
    <row r="543" ht="14.25" customHeight="1">
      <c r="A543" s="37"/>
    </row>
    <row r="544" ht="14.25" customHeight="1">
      <c r="A544" s="37"/>
    </row>
    <row r="545" ht="14.25" customHeight="1">
      <c r="A545" s="37"/>
    </row>
    <row r="546" ht="14.25" customHeight="1">
      <c r="A546" s="37"/>
    </row>
    <row r="547" ht="14.25" customHeight="1">
      <c r="A547" s="37"/>
    </row>
    <row r="548" ht="14.25" customHeight="1">
      <c r="A548" s="37"/>
    </row>
    <row r="549" ht="14.25" customHeight="1">
      <c r="A549" s="37"/>
    </row>
    <row r="550" ht="14.25" customHeight="1">
      <c r="A550" s="37"/>
    </row>
    <row r="551" ht="14.25" customHeight="1">
      <c r="A551" s="37"/>
    </row>
    <row r="552" ht="14.25" customHeight="1">
      <c r="A552" s="37"/>
    </row>
    <row r="553" ht="14.25" customHeight="1">
      <c r="A553" s="37"/>
    </row>
    <row r="554" ht="14.25" customHeight="1">
      <c r="A554" s="37"/>
    </row>
    <row r="555" ht="14.25" customHeight="1">
      <c r="A555" s="37"/>
    </row>
    <row r="556" ht="14.25" customHeight="1">
      <c r="A556" s="37"/>
    </row>
    <row r="557" ht="14.25" customHeight="1">
      <c r="A557" s="37"/>
    </row>
    <row r="558" ht="14.25" customHeight="1">
      <c r="A558" s="37"/>
    </row>
    <row r="559" ht="14.25" customHeight="1">
      <c r="A559" s="37"/>
    </row>
    <row r="560" ht="14.25" customHeight="1">
      <c r="A560" s="37"/>
    </row>
    <row r="561" ht="14.25" customHeight="1">
      <c r="A561" s="37"/>
    </row>
    <row r="562" ht="14.25" customHeight="1">
      <c r="A562" s="37"/>
    </row>
    <row r="563" ht="14.25" customHeight="1">
      <c r="A563" s="37"/>
    </row>
    <row r="564" ht="14.25" customHeight="1">
      <c r="A564" s="37"/>
    </row>
    <row r="565" ht="14.25" customHeight="1">
      <c r="A565" s="37"/>
    </row>
    <row r="566" ht="14.25" customHeight="1">
      <c r="A566" s="37"/>
    </row>
    <row r="567" ht="14.25" customHeight="1">
      <c r="A567" s="37"/>
    </row>
    <row r="568" ht="14.25" customHeight="1">
      <c r="A568" s="37"/>
    </row>
    <row r="569" ht="14.25" customHeight="1">
      <c r="A569" s="37"/>
    </row>
    <row r="570" ht="14.25" customHeight="1">
      <c r="A570" s="37"/>
    </row>
    <row r="571" ht="14.25" customHeight="1">
      <c r="A571" s="37"/>
    </row>
    <row r="572" ht="14.25" customHeight="1">
      <c r="A572" s="37"/>
    </row>
    <row r="573" ht="14.25" customHeight="1">
      <c r="A573" s="37"/>
    </row>
    <row r="574" ht="14.25" customHeight="1">
      <c r="A574" s="37"/>
    </row>
    <row r="575" ht="14.25" customHeight="1">
      <c r="A575" s="37"/>
    </row>
    <row r="576" ht="14.25" customHeight="1">
      <c r="A576" s="37"/>
    </row>
    <row r="577" ht="14.25" customHeight="1">
      <c r="A577" s="37"/>
    </row>
    <row r="578" ht="14.25" customHeight="1">
      <c r="A578" s="37"/>
    </row>
    <row r="579" ht="14.25" customHeight="1">
      <c r="A579" s="37"/>
    </row>
    <row r="580" ht="14.25" customHeight="1">
      <c r="A580" s="37"/>
    </row>
    <row r="581" ht="14.25" customHeight="1">
      <c r="A581" s="37"/>
    </row>
    <row r="582" ht="14.25" customHeight="1">
      <c r="A582" s="37"/>
    </row>
    <row r="583" ht="14.25" customHeight="1">
      <c r="A583" s="37"/>
    </row>
    <row r="584" ht="14.25" customHeight="1">
      <c r="A584" s="37"/>
    </row>
    <row r="585" ht="14.25" customHeight="1">
      <c r="A585" s="37"/>
    </row>
    <row r="586" ht="14.25" customHeight="1">
      <c r="A586" s="37"/>
    </row>
    <row r="587" ht="14.25" customHeight="1">
      <c r="A587" s="37"/>
    </row>
    <row r="588" ht="14.25" customHeight="1">
      <c r="A588" s="37"/>
    </row>
    <row r="589" ht="14.25" customHeight="1">
      <c r="A589" s="37"/>
    </row>
    <row r="590" ht="14.25" customHeight="1">
      <c r="A590" s="37"/>
    </row>
    <row r="591" ht="14.25" customHeight="1">
      <c r="A591" s="37"/>
    </row>
    <row r="592" ht="14.25" customHeight="1">
      <c r="A592" s="37"/>
    </row>
    <row r="593" ht="14.25" customHeight="1">
      <c r="A593" s="37"/>
    </row>
    <row r="594" ht="14.25" customHeight="1">
      <c r="A594" s="37"/>
    </row>
    <row r="595" ht="14.25" customHeight="1">
      <c r="A595" s="37"/>
    </row>
    <row r="596" ht="14.25" customHeight="1">
      <c r="A596" s="37"/>
    </row>
    <row r="597" ht="14.25" customHeight="1">
      <c r="A597" s="37"/>
    </row>
    <row r="598" ht="14.25" customHeight="1">
      <c r="A598" s="37"/>
    </row>
    <row r="599" ht="14.25" customHeight="1">
      <c r="A599" s="37"/>
    </row>
    <row r="600" ht="14.25" customHeight="1">
      <c r="A600" s="37"/>
    </row>
    <row r="601" ht="14.25" customHeight="1">
      <c r="A601" s="37"/>
    </row>
    <row r="602" ht="14.25" customHeight="1">
      <c r="A602" s="37"/>
    </row>
    <row r="603" ht="14.25" customHeight="1">
      <c r="A603" s="37"/>
    </row>
    <row r="604" ht="14.25" customHeight="1">
      <c r="A604" s="37"/>
    </row>
    <row r="605" ht="14.25" customHeight="1">
      <c r="A605" s="37"/>
    </row>
    <row r="606" ht="14.25" customHeight="1">
      <c r="A606" s="37"/>
    </row>
    <row r="607" ht="14.25" customHeight="1">
      <c r="A607" s="37"/>
    </row>
    <row r="608" ht="14.25" customHeight="1">
      <c r="A608" s="37"/>
    </row>
    <row r="609" ht="14.25" customHeight="1">
      <c r="A609" s="37"/>
    </row>
    <row r="610" ht="14.25" customHeight="1">
      <c r="A610" s="37"/>
    </row>
    <row r="611" ht="14.25" customHeight="1">
      <c r="A611" s="37"/>
    </row>
    <row r="612" ht="14.25" customHeight="1">
      <c r="A612" s="37"/>
    </row>
    <row r="613" ht="14.25" customHeight="1">
      <c r="A613" s="37"/>
    </row>
    <row r="614" ht="14.25" customHeight="1">
      <c r="A614" s="37"/>
    </row>
    <row r="615" ht="14.25" customHeight="1">
      <c r="A615" s="37"/>
    </row>
    <row r="616" ht="14.25" customHeight="1">
      <c r="A616" s="37"/>
    </row>
    <row r="617" ht="14.25" customHeight="1">
      <c r="A617" s="37"/>
    </row>
    <row r="618" ht="14.25" customHeight="1">
      <c r="A618" s="37"/>
    </row>
    <row r="619" ht="14.25" customHeight="1">
      <c r="A619" s="37"/>
    </row>
    <row r="620" ht="14.25" customHeight="1">
      <c r="A620" s="37"/>
    </row>
    <row r="621" ht="14.25" customHeight="1">
      <c r="A621" s="37"/>
    </row>
    <row r="622" ht="14.25" customHeight="1">
      <c r="A622" s="37"/>
    </row>
    <row r="623" ht="14.25" customHeight="1">
      <c r="A623" s="37"/>
    </row>
    <row r="624" ht="14.25" customHeight="1">
      <c r="A624" s="37"/>
    </row>
    <row r="625" ht="14.25" customHeight="1">
      <c r="A625" s="37"/>
    </row>
    <row r="626" ht="14.25" customHeight="1">
      <c r="A626" s="37"/>
    </row>
    <row r="627" ht="14.25" customHeight="1">
      <c r="A627" s="37"/>
    </row>
    <row r="628" ht="14.25" customHeight="1">
      <c r="A628" s="37"/>
    </row>
    <row r="629" ht="14.25" customHeight="1">
      <c r="A629" s="37"/>
    </row>
    <row r="630" ht="14.25" customHeight="1">
      <c r="A630" s="37"/>
    </row>
    <row r="631" ht="14.25" customHeight="1">
      <c r="A631" s="37"/>
    </row>
    <row r="632" ht="14.25" customHeight="1">
      <c r="A632" s="37"/>
    </row>
    <row r="633" ht="14.25" customHeight="1">
      <c r="A633" s="37"/>
    </row>
    <row r="634" ht="14.25" customHeight="1">
      <c r="A634" s="37"/>
    </row>
    <row r="635" ht="14.25" customHeight="1">
      <c r="A635" s="37"/>
    </row>
    <row r="636" ht="14.25" customHeight="1">
      <c r="A636" s="37"/>
    </row>
    <row r="637" ht="14.25" customHeight="1">
      <c r="A637" s="37"/>
    </row>
    <row r="638" ht="14.25" customHeight="1">
      <c r="A638" s="37"/>
    </row>
    <row r="639" ht="14.25" customHeight="1">
      <c r="A639" s="37"/>
    </row>
    <row r="640" ht="14.25" customHeight="1">
      <c r="A640" s="37"/>
    </row>
    <row r="641" ht="14.25" customHeight="1">
      <c r="A641" s="37"/>
    </row>
    <row r="642" ht="14.25" customHeight="1">
      <c r="A642" s="37"/>
    </row>
    <row r="643" ht="14.25" customHeight="1">
      <c r="A643" s="37"/>
    </row>
    <row r="644" ht="14.25" customHeight="1">
      <c r="A644" s="37"/>
    </row>
    <row r="645" ht="14.25" customHeight="1">
      <c r="A645" s="37"/>
    </row>
    <row r="646" ht="14.25" customHeight="1">
      <c r="A646" s="37"/>
    </row>
    <row r="647" ht="14.25" customHeight="1">
      <c r="A647" s="37"/>
    </row>
    <row r="648" ht="14.25" customHeight="1">
      <c r="A648" s="37"/>
    </row>
    <row r="649" ht="14.25" customHeight="1">
      <c r="A649" s="37"/>
    </row>
    <row r="650" ht="14.25" customHeight="1">
      <c r="A650" s="37"/>
    </row>
    <row r="651" ht="14.25" customHeight="1">
      <c r="A651" s="37"/>
    </row>
    <row r="652" ht="14.25" customHeight="1">
      <c r="A652" s="37"/>
    </row>
    <row r="653" ht="14.25" customHeight="1">
      <c r="A653" s="37"/>
    </row>
    <row r="654" ht="14.25" customHeight="1">
      <c r="A654" s="37"/>
    </row>
    <row r="655" ht="14.25" customHeight="1">
      <c r="A655" s="37"/>
    </row>
    <row r="656" ht="14.25" customHeight="1">
      <c r="A656" s="37"/>
    </row>
    <row r="657" ht="14.25" customHeight="1">
      <c r="A657" s="37"/>
    </row>
    <row r="658" ht="14.25" customHeight="1">
      <c r="A658" s="37"/>
    </row>
    <row r="659" ht="14.25" customHeight="1">
      <c r="A659" s="37"/>
    </row>
    <row r="660" ht="14.25" customHeight="1">
      <c r="A660" s="37"/>
    </row>
    <row r="661" ht="14.25" customHeight="1">
      <c r="A661" s="37"/>
    </row>
    <row r="662" ht="14.25" customHeight="1">
      <c r="A662" s="37"/>
    </row>
    <row r="663" ht="14.25" customHeight="1">
      <c r="A663" s="37"/>
    </row>
    <row r="664" ht="14.25" customHeight="1">
      <c r="A664" s="37"/>
    </row>
    <row r="665" ht="14.25" customHeight="1">
      <c r="A665" s="37"/>
    </row>
    <row r="666" ht="14.25" customHeight="1">
      <c r="A666" s="37"/>
    </row>
    <row r="667" ht="14.25" customHeight="1">
      <c r="A667" s="37"/>
    </row>
    <row r="668" ht="14.25" customHeight="1">
      <c r="A668" s="37"/>
    </row>
    <row r="669" ht="14.25" customHeight="1">
      <c r="A669" s="37"/>
    </row>
    <row r="670" ht="14.25" customHeight="1">
      <c r="A670" s="37"/>
    </row>
    <row r="671" ht="14.25" customHeight="1">
      <c r="A671" s="37"/>
    </row>
    <row r="672" ht="14.25" customHeight="1">
      <c r="A672" s="37"/>
    </row>
    <row r="673" ht="14.25" customHeight="1">
      <c r="A673" s="37"/>
    </row>
    <row r="674" ht="14.25" customHeight="1">
      <c r="A674" s="37"/>
    </row>
    <row r="675" ht="14.25" customHeight="1">
      <c r="A675" s="37"/>
    </row>
    <row r="676" ht="14.25" customHeight="1">
      <c r="A676" s="37"/>
    </row>
    <row r="677" ht="14.25" customHeight="1">
      <c r="A677" s="37"/>
    </row>
    <row r="678" ht="14.25" customHeight="1">
      <c r="A678" s="37"/>
    </row>
    <row r="679" ht="14.25" customHeight="1">
      <c r="A679" s="37"/>
    </row>
    <row r="680" ht="14.25" customHeight="1">
      <c r="A680" s="37"/>
    </row>
    <row r="681" ht="14.25" customHeight="1">
      <c r="A681" s="37"/>
    </row>
    <row r="682" ht="14.25" customHeight="1">
      <c r="A682" s="37"/>
    </row>
    <row r="683" ht="14.25" customHeight="1">
      <c r="A683" s="37"/>
    </row>
    <row r="684" ht="14.25" customHeight="1">
      <c r="A684" s="37"/>
    </row>
    <row r="685" ht="14.25" customHeight="1">
      <c r="A685" s="37"/>
    </row>
    <row r="686" ht="14.25" customHeight="1">
      <c r="A686" s="37"/>
    </row>
    <row r="687" ht="14.25" customHeight="1">
      <c r="A687" s="37"/>
    </row>
    <row r="688" ht="14.25" customHeight="1">
      <c r="A688" s="37"/>
    </row>
    <row r="689" ht="14.25" customHeight="1">
      <c r="A689" s="37"/>
    </row>
    <row r="690" ht="14.25" customHeight="1">
      <c r="A690" s="37"/>
    </row>
    <row r="691" ht="14.25" customHeight="1">
      <c r="A691" s="37"/>
    </row>
    <row r="692" ht="14.25" customHeight="1">
      <c r="A692" s="37"/>
    </row>
    <row r="693" ht="14.25" customHeight="1">
      <c r="A693" s="37"/>
    </row>
    <row r="694" ht="14.25" customHeight="1">
      <c r="A694" s="37"/>
    </row>
    <row r="695" ht="14.25" customHeight="1">
      <c r="A695" s="37"/>
    </row>
    <row r="696" ht="14.25" customHeight="1">
      <c r="A696" s="37"/>
    </row>
    <row r="697" ht="14.25" customHeight="1">
      <c r="A697" s="37"/>
    </row>
    <row r="698" ht="14.25" customHeight="1">
      <c r="A698" s="37"/>
    </row>
    <row r="699" ht="14.25" customHeight="1">
      <c r="A699" s="37"/>
    </row>
    <row r="700" ht="14.25" customHeight="1">
      <c r="A700" s="37"/>
    </row>
    <row r="701" ht="14.25" customHeight="1">
      <c r="A701" s="37"/>
    </row>
    <row r="702" ht="14.25" customHeight="1">
      <c r="A702" s="37"/>
    </row>
    <row r="703" ht="14.25" customHeight="1">
      <c r="A703" s="37"/>
    </row>
    <row r="704" ht="14.25" customHeight="1">
      <c r="A704" s="37"/>
    </row>
    <row r="705" ht="14.25" customHeight="1">
      <c r="A705" s="37"/>
    </row>
    <row r="706" ht="14.25" customHeight="1">
      <c r="A706" s="37"/>
    </row>
    <row r="707" ht="14.25" customHeight="1">
      <c r="A707" s="37"/>
    </row>
    <row r="708" ht="14.25" customHeight="1">
      <c r="A708" s="37"/>
    </row>
    <row r="709" ht="14.25" customHeight="1">
      <c r="A709" s="37"/>
    </row>
    <row r="710" ht="14.25" customHeight="1">
      <c r="A710" s="37"/>
    </row>
    <row r="711" ht="14.25" customHeight="1">
      <c r="A711" s="37"/>
    </row>
    <row r="712" ht="14.25" customHeight="1">
      <c r="A712" s="37"/>
    </row>
    <row r="713" ht="14.25" customHeight="1">
      <c r="A713" s="37"/>
    </row>
    <row r="714" ht="14.25" customHeight="1">
      <c r="A714" s="37"/>
    </row>
    <row r="715" ht="14.25" customHeight="1">
      <c r="A715" s="37"/>
    </row>
    <row r="716" ht="14.25" customHeight="1">
      <c r="A716" s="37"/>
    </row>
    <row r="717" ht="14.25" customHeight="1">
      <c r="A717" s="37"/>
    </row>
    <row r="718" ht="14.25" customHeight="1">
      <c r="A718" s="37"/>
    </row>
    <row r="719" ht="14.25" customHeight="1">
      <c r="A719" s="37"/>
    </row>
    <row r="720" ht="14.25" customHeight="1">
      <c r="A720" s="37"/>
    </row>
    <row r="721" ht="14.25" customHeight="1">
      <c r="A721" s="37"/>
    </row>
    <row r="722" ht="14.25" customHeight="1">
      <c r="A722" s="37"/>
    </row>
    <row r="723" ht="14.25" customHeight="1">
      <c r="A723" s="37"/>
    </row>
    <row r="724" ht="14.25" customHeight="1">
      <c r="A724" s="37"/>
    </row>
    <row r="725" ht="14.25" customHeight="1">
      <c r="A725" s="37"/>
    </row>
    <row r="726" ht="14.25" customHeight="1">
      <c r="A726" s="37"/>
    </row>
    <row r="727" ht="14.25" customHeight="1">
      <c r="A727" s="37"/>
    </row>
    <row r="728" ht="14.25" customHeight="1">
      <c r="A728" s="37"/>
    </row>
    <row r="729" ht="14.25" customHeight="1">
      <c r="A729" s="37"/>
    </row>
    <row r="730" ht="14.25" customHeight="1">
      <c r="A730" s="37"/>
    </row>
    <row r="731" ht="14.25" customHeight="1">
      <c r="A731" s="37"/>
    </row>
    <row r="732" ht="14.25" customHeight="1">
      <c r="A732" s="37"/>
    </row>
    <row r="733" ht="14.25" customHeight="1">
      <c r="A733" s="37"/>
    </row>
    <row r="734" ht="14.25" customHeight="1">
      <c r="A734" s="37"/>
    </row>
    <row r="735" ht="14.25" customHeight="1">
      <c r="A735" s="37"/>
    </row>
    <row r="736" ht="14.25" customHeight="1">
      <c r="A736" s="37"/>
    </row>
    <row r="737" ht="14.25" customHeight="1">
      <c r="A737" s="37"/>
    </row>
    <row r="738" ht="14.25" customHeight="1">
      <c r="A738" s="37"/>
    </row>
    <row r="739" ht="14.25" customHeight="1">
      <c r="A739" s="37"/>
    </row>
    <row r="740" ht="14.25" customHeight="1">
      <c r="A740" s="37"/>
    </row>
    <row r="741" ht="14.25" customHeight="1">
      <c r="A741" s="37"/>
    </row>
    <row r="742" ht="14.25" customHeight="1">
      <c r="A742" s="37"/>
    </row>
    <row r="743" ht="14.25" customHeight="1">
      <c r="A743" s="37"/>
    </row>
    <row r="744" ht="14.25" customHeight="1">
      <c r="A744" s="37"/>
    </row>
    <row r="745" ht="14.25" customHeight="1">
      <c r="A745" s="37"/>
    </row>
    <row r="746" ht="14.25" customHeight="1">
      <c r="A746" s="37"/>
    </row>
    <row r="747" ht="14.25" customHeight="1">
      <c r="A747" s="37"/>
    </row>
    <row r="748" ht="14.25" customHeight="1">
      <c r="A748" s="37"/>
    </row>
    <row r="749" ht="14.25" customHeight="1">
      <c r="A749" s="37"/>
    </row>
    <row r="750" ht="14.25" customHeight="1">
      <c r="A750" s="37"/>
    </row>
    <row r="751" ht="14.25" customHeight="1">
      <c r="A751" s="37"/>
    </row>
    <row r="752" ht="14.25" customHeight="1">
      <c r="A752" s="37"/>
    </row>
    <row r="753" ht="14.25" customHeight="1">
      <c r="A753" s="37"/>
    </row>
    <row r="754" ht="14.25" customHeight="1">
      <c r="A754" s="37"/>
    </row>
    <row r="755" ht="14.25" customHeight="1">
      <c r="A755" s="37"/>
    </row>
    <row r="756" ht="14.25" customHeight="1">
      <c r="A756" s="37"/>
    </row>
    <row r="757" ht="14.25" customHeight="1">
      <c r="A757" s="37"/>
    </row>
    <row r="758" ht="14.25" customHeight="1">
      <c r="A758" s="37"/>
    </row>
    <row r="759" ht="14.25" customHeight="1">
      <c r="A759" s="37"/>
    </row>
    <row r="760" ht="14.25" customHeight="1">
      <c r="A760" s="37"/>
    </row>
    <row r="761" ht="14.25" customHeight="1">
      <c r="A761" s="37"/>
    </row>
    <row r="762" ht="14.25" customHeight="1">
      <c r="A762" s="37"/>
    </row>
    <row r="763" ht="14.25" customHeight="1">
      <c r="A763" s="37"/>
    </row>
    <row r="764" ht="14.25" customHeight="1">
      <c r="A764" s="37"/>
    </row>
    <row r="765" ht="14.25" customHeight="1">
      <c r="A765" s="37"/>
    </row>
    <row r="766" ht="14.25" customHeight="1">
      <c r="A766" s="37"/>
    </row>
    <row r="767" ht="14.25" customHeight="1">
      <c r="A767" s="37"/>
    </row>
    <row r="768" ht="14.25" customHeight="1">
      <c r="A768" s="37"/>
    </row>
    <row r="769" ht="14.25" customHeight="1">
      <c r="A769" s="37"/>
    </row>
    <row r="770" ht="14.25" customHeight="1">
      <c r="A770" s="37"/>
    </row>
    <row r="771" ht="14.25" customHeight="1">
      <c r="A771" s="37"/>
    </row>
    <row r="772" ht="14.25" customHeight="1">
      <c r="A772" s="37"/>
    </row>
    <row r="773" ht="14.25" customHeight="1">
      <c r="A773" s="37"/>
    </row>
    <row r="774" ht="14.25" customHeight="1">
      <c r="A774" s="37"/>
    </row>
    <row r="775" ht="14.25" customHeight="1">
      <c r="A775" s="37"/>
    </row>
    <row r="776" ht="14.25" customHeight="1">
      <c r="A776" s="37"/>
    </row>
    <row r="777" ht="14.25" customHeight="1">
      <c r="A777" s="37"/>
    </row>
    <row r="778" ht="14.25" customHeight="1">
      <c r="A778" s="37"/>
    </row>
    <row r="779" ht="14.25" customHeight="1">
      <c r="A779" s="37"/>
    </row>
    <row r="780" ht="14.25" customHeight="1">
      <c r="A780" s="37"/>
    </row>
    <row r="781" ht="14.25" customHeight="1">
      <c r="A781" s="37"/>
    </row>
    <row r="782" ht="14.25" customHeight="1">
      <c r="A782" s="37"/>
    </row>
    <row r="783" ht="14.25" customHeight="1">
      <c r="A783" s="37"/>
    </row>
    <row r="784" ht="14.25" customHeight="1">
      <c r="A784" s="37"/>
    </row>
    <row r="785" ht="14.25" customHeight="1">
      <c r="A785" s="37"/>
    </row>
    <row r="786" ht="14.25" customHeight="1">
      <c r="A786" s="37"/>
    </row>
    <row r="787" ht="14.25" customHeight="1">
      <c r="A787" s="37"/>
    </row>
    <row r="788" ht="14.25" customHeight="1">
      <c r="A788" s="37"/>
    </row>
    <row r="789" ht="14.25" customHeight="1">
      <c r="A789" s="37"/>
    </row>
    <row r="790" ht="14.25" customHeight="1">
      <c r="A790" s="37"/>
    </row>
    <row r="791" ht="14.25" customHeight="1">
      <c r="A791" s="37"/>
    </row>
    <row r="792" ht="14.25" customHeight="1">
      <c r="A792" s="37"/>
    </row>
    <row r="793" ht="14.25" customHeight="1">
      <c r="A793" s="37"/>
    </row>
    <row r="794" ht="14.25" customHeight="1">
      <c r="A794" s="37"/>
    </row>
    <row r="795" ht="14.25" customHeight="1">
      <c r="A795" s="37"/>
    </row>
    <row r="796" ht="14.25" customHeight="1">
      <c r="A796" s="37"/>
    </row>
    <row r="797" ht="14.25" customHeight="1">
      <c r="A797" s="37"/>
    </row>
    <row r="798" ht="14.25" customHeight="1">
      <c r="A798" s="37"/>
    </row>
    <row r="799" ht="14.25" customHeight="1">
      <c r="A799" s="37"/>
    </row>
    <row r="800" ht="14.25" customHeight="1">
      <c r="A800" s="37"/>
    </row>
    <row r="801" ht="14.25" customHeight="1">
      <c r="A801" s="37"/>
    </row>
    <row r="802" ht="14.25" customHeight="1">
      <c r="A802" s="37"/>
    </row>
    <row r="803" ht="14.25" customHeight="1">
      <c r="A803" s="37"/>
    </row>
    <row r="804" ht="14.25" customHeight="1">
      <c r="A804" s="37"/>
    </row>
    <row r="805" ht="14.25" customHeight="1">
      <c r="A805" s="37"/>
    </row>
    <row r="806" ht="14.25" customHeight="1">
      <c r="A806" s="37"/>
    </row>
    <row r="807" ht="14.25" customHeight="1">
      <c r="A807" s="37"/>
    </row>
    <row r="808" ht="14.25" customHeight="1">
      <c r="A808" s="37"/>
    </row>
    <row r="809" ht="14.25" customHeight="1">
      <c r="A809" s="37"/>
    </row>
    <row r="810" ht="14.25" customHeight="1">
      <c r="A810" s="37"/>
    </row>
    <row r="811" ht="14.25" customHeight="1">
      <c r="A811" s="37"/>
    </row>
    <row r="812" ht="14.25" customHeight="1">
      <c r="A812" s="37"/>
    </row>
    <row r="813" ht="14.25" customHeight="1">
      <c r="A813" s="37"/>
    </row>
    <row r="814" ht="14.25" customHeight="1">
      <c r="A814" s="37"/>
    </row>
    <row r="815" ht="14.25" customHeight="1">
      <c r="A815" s="37"/>
    </row>
    <row r="816" ht="14.25" customHeight="1">
      <c r="A816" s="37"/>
    </row>
    <row r="817" ht="14.25" customHeight="1">
      <c r="A817" s="37"/>
    </row>
    <row r="818" ht="14.25" customHeight="1">
      <c r="A818" s="37"/>
    </row>
    <row r="819" ht="14.25" customHeight="1">
      <c r="A819" s="37"/>
    </row>
    <row r="820" ht="14.25" customHeight="1">
      <c r="A820" s="37"/>
    </row>
    <row r="821" ht="14.25" customHeight="1">
      <c r="A821" s="37"/>
    </row>
    <row r="822" ht="14.25" customHeight="1">
      <c r="A822" s="37"/>
    </row>
    <row r="823" ht="14.25" customHeight="1">
      <c r="A823" s="37"/>
    </row>
    <row r="824" ht="14.25" customHeight="1">
      <c r="A824" s="37"/>
    </row>
    <row r="825" ht="14.25" customHeight="1">
      <c r="A825" s="37"/>
    </row>
    <row r="826" ht="14.25" customHeight="1">
      <c r="A826" s="37"/>
    </row>
    <row r="827" ht="14.25" customHeight="1">
      <c r="A827" s="37"/>
    </row>
    <row r="828" ht="14.25" customHeight="1">
      <c r="A828" s="37"/>
    </row>
    <row r="829" ht="14.25" customHeight="1">
      <c r="A829" s="37"/>
    </row>
    <row r="830" ht="14.25" customHeight="1">
      <c r="A830" s="37"/>
    </row>
    <row r="831" ht="14.25" customHeight="1">
      <c r="A831" s="37"/>
    </row>
    <row r="832" ht="14.25" customHeight="1">
      <c r="A832" s="37"/>
    </row>
    <row r="833" ht="14.25" customHeight="1">
      <c r="A833" s="37"/>
    </row>
    <row r="834" ht="14.25" customHeight="1">
      <c r="A834" s="37"/>
    </row>
    <row r="835" ht="14.25" customHeight="1">
      <c r="A835" s="37"/>
    </row>
    <row r="836" ht="14.25" customHeight="1">
      <c r="A836" s="37"/>
    </row>
    <row r="837" ht="14.25" customHeight="1">
      <c r="A837" s="37"/>
    </row>
    <row r="838" ht="14.25" customHeight="1">
      <c r="A838" s="37"/>
    </row>
    <row r="839" ht="14.25" customHeight="1">
      <c r="A839" s="37"/>
    </row>
    <row r="840" ht="14.25" customHeight="1">
      <c r="A840" s="37"/>
    </row>
    <row r="841" ht="14.25" customHeight="1">
      <c r="A841" s="37"/>
    </row>
    <row r="842" ht="14.25" customHeight="1">
      <c r="A842" s="37"/>
    </row>
    <row r="843" ht="14.25" customHeight="1">
      <c r="A843" s="37"/>
    </row>
    <row r="844" ht="14.25" customHeight="1">
      <c r="A844" s="37"/>
    </row>
    <row r="845" ht="14.25" customHeight="1">
      <c r="A845" s="37"/>
    </row>
    <row r="846" ht="14.25" customHeight="1">
      <c r="A846" s="37"/>
    </row>
    <row r="847" ht="14.25" customHeight="1">
      <c r="A847" s="37"/>
    </row>
    <row r="848" ht="14.25" customHeight="1">
      <c r="A848" s="37"/>
    </row>
    <row r="849" ht="14.25" customHeight="1">
      <c r="A849" s="37"/>
    </row>
    <row r="850" ht="14.25" customHeight="1">
      <c r="A850" s="37"/>
    </row>
    <row r="851" ht="14.25" customHeight="1">
      <c r="A851" s="37"/>
    </row>
    <row r="852" ht="14.25" customHeight="1">
      <c r="A852" s="37"/>
    </row>
    <row r="853" ht="14.25" customHeight="1">
      <c r="A853" s="37"/>
    </row>
    <row r="854" ht="14.25" customHeight="1">
      <c r="A854" s="37"/>
    </row>
    <row r="855" ht="14.25" customHeight="1">
      <c r="A855" s="37"/>
    </row>
    <row r="856" ht="14.25" customHeight="1">
      <c r="A856" s="37"/>
    </row>
    <row r="857" ht="14.25" customHeight="1">
      <c r="A857" s="37"/>
    </row>
    <row r="858" ht="14.25" customHeight="1">
      <c r="A858" s="37"/>
    </row>
    <row r="859" ht="14.25" customHeight="1">
      <c r="A859" s="37"/>
    </row>
    <row r="860" ht="14.25" customHeight="1">
      <c r="A860" s="37"/>
    </row>
    <row r="861" ht="14.25" customHeight="1">
      <c r="A861" s="37"/>
    </row>
    <row r="862" ht="14.25" customHeight="1">
      <c r="A862" s="37"/>
    </row>
    <row r="863" ht="14.25" customHeight="1">
      <c r="A863" s="37"/>
    </row>
    <row r="864" ht="14.25" customHeight="1">
      <c r="A864" s="37"/>
    </row>
    <row r="865" ht="14.25" customHeight="1">
      <c r="A865" s="37"/>
    </row>
    <row r="866" ht="14.25" customHeight="1">
      <c r="A866" s="37"/>
    </row>
    <row r="867" ht="14.25" customHeight="1">
      <c r="A867" s="37"/>
    </row>
    <row r="868" ht="14.25" customHeight="1">
      <c r="A868" s="37"/>
    </row>
    <row r="869" ht="14.25" customHeight="1">
      <c r="A869" s="37"/>
    </row>
    <row r="870" ht="14.25" customHeight="1">
      <c r="A870" s="37"/>
    </row>
    <row r="871" ht="14.25" customHeight="1">
      <c r="A871" s="37"/>
    </row>
    <row r="872" ht="14.25" customHeight="1">
      <c r="A872" s="37"/>
    </row>
    <row r="873" ht="14.25" customHeight="1">
      <c r="A873" s="37"/>
    </row>
    <row r="874" ht="14.25" customHeight="1">
      <c r="A874" s="37"/>
    </row>
    <row r="875" ht="14.25" customHeight="1">
      <c r="A875" s="37"/>
    </row>
    <row r="876" ht="14.25" customHeight="1">
      <c r="A876" s="37"/>
    </row>
    <row r="877" ht="14.25" customHeight="1">
      <c r="A877" s="37"/>
    </row>
    <row r="878" ht="14.25" customHeight="1">
      <c r="A878" s="37"/>
    </row>
    <row r="879" ht="14.25" customHeight="1">
      <c r="A879" s="37"/>
    </row>
    <row r="880" ht="14.25" customHeight="1">
      <c r="A880" s="37"/>
    </row>
    <row r="881" ht="14.25" customHeight="1">
      <c r="A881" s="37"/>
    </row>
    <row r="882" ht="14.25" customHeight="1">
      <c r="A882" s="37"/>
    </row>
    <row r="883" ht="14.25" customHeight="1">
      <c r="A883" s="37"/>
    </row>
    <row r="884" ht="14.25" customHeight="1">
      <c r="A884" s="37"/>
    </row>
    <row r="885" ht="14.25" customHeight="1">
      <c r="A885" s="37"/>
    </row>
    <row r="886" ht="14.25" customHeight="1">
      <c r="A886" s="37"/>
    </row>
    <row r="887" ht="14.25" customHeight="1">
      <c r="A887" s="37"/>
    </row>
    <row r="888" ht="14.25" customHeight="1">
      <c r="A888" s="37"/>
    </row>
    <row r="889" ht="14.25" customHeight="1">
      <c r="A889" s="37"/>
    </row>
    <row r="890" ht="14.25" customHeight="1">
      <c r="A890" s="37"/>
    </row>
    <row r="891" ht="14.25" customHeight="1">
      <c r="A891" s="37"/>
    </row>
    <row r="892" ht="14.25" customHeight="1">
      <c r="A892" s="37"/>
    </row>
    <row r="893" ht="14.25" customHeight="1">
      <c r="A893" s="37"/>
    </row>
    <row r="894" ht="14.25" customHeight="1">
      <c r="A894" s="37"/>
    </row>
    <row r="895" ht="14.25" customHeight="1">
      <c r="A895" s="37"/>
    </row>
    <row r="896" ht="14.25" customHeight="1">
      <c r="A896" s="37"/>
    </row>
    <row r="897" ht="14.25" customHeight="1">
      <c r="A897" s="37"/>
    </row>
    <row r="898" ht="14.25" customHeight="1">
      <c r="A898" s="37"/>
    </row>
    <row r="899" ht="14.25" customHeight="1">
      <c r="A899" s="37"/>
    </row>
    <row r="900" ht="14.25" customHeight="1">
      <c r="A900" s="37"/>
    </row>
    <row r="901" ht="14.25" customHeight="1">
      <c r="A901" s="37"/>
    </row>
    <row r="902" ht="14.25" customHeight="1">
      <c r="A902" s="37"/>
    </row>
    <row r="903" ht="14.25" customHeight="1">
      <c r="A903" s="37"/>
    </row>
    <row r="904" ht="14.25" customHeight="1">
      <c r="A904" s="37"/>
    </row>
    <row r="905" ht="14.25" customHeight="1">
      <c r="A905" s="37"/>
    </row>
    <row r="906" ht="14.25" customHeight="1">
      <c r="A906" s="37"/>
    </row>
    <row r="907" ht="14.25" customHeight="1">
      <c r="A907" s="37"/>
    </row>
    <row r="908" ht="14.25" customHeight="1">
      <c r="A908" s="37"/>
    </row>
    <row r="909" ht="14.25" customHeight="1">
      <c r="A909" s="37"/>
    </row>
    <row r="910" ht="14.25" customHeight="1">
      <c r="A910" s="37"/>
    </row>
    <row r="911" ht="14.25" customHeight="1">
      <c r="A911" s="37"/>
    </row>
    <row r="912" ht="14.25" customHeight="1">
      <c r="A912" s="37"/>
    </row>
    <row r="913" ht="14.25" customHeight="1">
      <c r="A913" s="37"/>
    </row>
    <row r="914" ht="14.25" customHeight="1">
      <c r="A914" s="37"/>
    </row>
    <row r="915" ht="14.25" customHeight="1">
      <c r="A915" s="37"/>
    </row>
    <row r="916" ht="14.25" customHeight="1">
      <c r="A916" s="37"/>
    </row>
    <row r="917" ht="14.25" customHeight="1">
      <c r="A917" s="37"/>
    </row>
    <row r="918" ht="14.25" customHeight="1">
      <c r="A918" s="37"/>
    </row>
    <row r="919" ht="14.25" customHeight="1">
      <c r="A919" s="37"/>
    </row>
    <row r="920" ht="14.25" customHeight="1">
      <c r="A920" s="37"/>
    </row>
    <row r="921" ht="14.25" customHeight="1">
      <c r="A921" s="37"/>
    </row>
    <row r="922" ht="14.25" customHeight="1">
      <c r="A922" s="37"/>
    </row>
    <row r="923" ht="14.25" customHeight="1">
      <c r="A923" s="37"/>
    </row>
    <row r="924" ht="14.25" customHeight="1">
      <c r="A924" s="37"/>
    </row>
    <row r="925" ht="14.25" customHeight="1">
      <c r="A925" s="37"/>
    </row>
    <row r="926" ht="14.25" customHeight="1">
      <c r="A926" s="37"/>
    </row>
    <row r="927" ht="14.25" customHeight="1">
      <c r="A927" s="37"/>
    </row>
    <row r="928" ht="14.25" customHeight="1">
      <c r="A928" s="37"/>
    </row>
    <row r="929" ht="14.25" customHeight="1">
      <c r="A929" s="37"/>
    </row>
    <row r="930" ht="14.25" customHeight="1">
      <c r="A930" s="37"/>
    </row>
    <row r="931" ht="14.25" customHeight="1">
      <c r="A931" s="37"/>
    </row>
    <row r="932" ht="14.25" customHeight="1">
      <c r="A932" s="37"/>
    </row>
    <row r="933" ht="14.25" customHeight="1">
      <c r="A933" s="37"/>
    </row>
    <row r="934" ht="14.25" customHeight="1">
      <c r="A934" s="37"/>
    </row>
    <row r="935" ht="14.25" customHeight="1">
      <c r="A935" s="37"/>
    </row>
    <row r="936" ht="14.25" customHeight="1">
      <c r="A936" s="37"/>
    </row>
    <row r="937" ht="14.25" customHeight="1">
      <c r="A937" s="37"/>
    </row>
    <row r="938" ht="14.25" customHeight="1">
      <c r="A938" s="37"/>
    </row>
    <row r="939" ht="14.25" customHeight="1">
      <c r="A939" s="37"/>
    </row>
    <row r="940" ht="14.25" customHeight="1">
      <c r="A940" s="37"/>
    </row>
    <row r="941" ht="14.25" customHeight="1">
      <c r="A941" s="37"/>
    </row>
    <row r="942" ht="14.25" customHeight="1">
      <c r="A942" s="37"/>
    </row>
    <row r="943" ht="14.25" customHeight="1">
      <c r="A943" s="37"/>
    </row>
    <row r="944" ht="14.25" customHeight="1">
      <c r="A944" s="37"/>
    </row>
    <row r="945" ht="14.25" customHeight="1">
      <c r="A945" s="37"/>
    </row>
    <row r="946" ht="14.25" customHeight="1">
      <c r="A946" s="37"/>
    </row>
    <row r="947" ht="14.25" customHeight="1">
      <c r="A947" s="37"/>
    </row>
    <row r="948" ht="14.25" customHeight="1">
      <c r="A948" s="37"/>
    </row>
    <row r="949" ht="14.25" customHeight="1">
      <c r="A949" s="37"/>
    </row>
    <row r="950" ht="14.25" customHeight="1">
      <c r="A950" s="37"/>
    </row>
    <row r="951" ht="14.25" customHeight="1">
      <c r="A951" s="37"/>
    </row>
    <row r="952" ht="14.25" customHeight="1">
      <c r="A952" s="37"/>
    </row>
    <row r="953" ht="14.25" customHeight="1">
      <c r="A953" s="37"/>
    </row>
    <row r="954" ht="14.25" customHeight="1">
      <c r="A954" s="37"/>
    </row>
    <row r="955" ht="14.25" customHeight="1">
      <c r="A955" s="37"/>
    </row>
    <row r="956" ht="14.25" customHeight="1">
      <c r="A956" s="37"/>
    </row>
    <row r="957" ht="14.25" customHeight="1">
      <c r="A957" s="37"/>
    </row>
    <row r="958" ht="14.25" customHeight="1">
      <c r="A958" s="37"/>
    </row>
    <row r="959" ht="14.25" customHeight="1">
      <c r="A959" s="37"/>
    </row>
    <row r="960" ht="14.25" customHeight="1">
      <c r="A960" s="37"/>
    </row>
    <row r="961" ht="14.25" customHeight="1">
      <c r="A961" s="37"/>
    </row>
    <row r="962" ht="14.25" customHeight="1">
      <c r="A962" s="37"/>
    </row>
    <row r="963" ht="14.25" customHeight="1">
      <c r="A963" s="37"/>
    </row>
    <row r="964" ht="14.25" customHeight="1">
      <c r="A964" s="37"/>
    </row>
    <row r="965" ht="14.25" customHeight="1">
      <c r="A965" s="37"/>
    </row>
    <row r="966" ht="14.25" customHeight="1">
      <c r="A966" s="37"/>
    </row>
    <row r="967" ht="14.25" customHeight="1">
      <c r="A967" s="37"/>
    </row>
    <row r="968" ht="14.25" customHeight="1">
      <c r="A968" s="37"/>
    </row>
    <row r="969" ht="14.25" customHeight="1">
      <c r="A969" s="37"/>
    </row>
    <row r="970" ht="14.25" customHeight="1">
      <c r="A970" s="37"/>
    </row>
    <row r="971" ht="14.25" customHeight="1">
      <c r="A971" s="37"/>
    </row>
    <row r="972" ht="14.25" customHeight="1">
      <c r="A972" s="37"/>
    </row>
    <row r="973" ht="14.25" customHeight="1">
      <c r="A973" s="37"/>
    </row>
    <row r="974" ht="14.25" customHeight="1">
      <c r="A974" s="37"/>
    </row>
    <row r="975" ht="14.25" customHeight="1">
      <c r="A975" s="37"/>
    </row>
    <row r="976" ht="14.25" customHeight="1">
      <c r="A976" s="37"/>
    </row>
    <row r="977" ht="14.25" customHeight="1">
      <c r="A977" s="37"/>
    </row>
    <row r="978" ht="14.25" customHeight="1">
      <c r="A978" s="37"/>
    </row>
    <row r="979" ht="14.25" customHeight="1">
      <c r="A979" s="37"/>
    </row>
    <row r="980" ht="14.25" customHeight="1">
      <c r="A980" s="37"/>
    </row>
    <row r="981" ht="14.25" customHeight="1">
      <c r="A981" s="37"/>
    </row>
    <row r="982" ht="14.25" customHeight="1">
      <c r="A982" s="37"/>
    </row>
    <row r="983" ht="14.25" customHeight="1">
      <c r="A983" s="37"/>
    </row>
    <row r="984" ht="14.25" customHeight="1">
      <c r="A984" s="37"/>
    </row>
    <row r="985" ht="14.25" customHeight="1">
      <c r="A985" s="37"/>
    </row>
    <row r="986" ht="14.25" customHeight="1">
      <c r="A986" s="37"/>
    </row>
    <row r="987" ht="14.25" customHeight="1">
      <c r="A987" s="37"/>
    </row>
    <row r="988" ht="14.25" customHeight="1">
      <c r="A988" s="37"/>
    </row>
    <row r="989" ht="14.25" customHeight="1">
      <c r="A989" s="37"/>
    </row>
    <row r="990" ht="14.25" customHeight="1">
      <c r="A990" s="37"/>
    </row>
    <row r="991" ht="14.25" customHeight="1">
      <c r="A991" s="37"/>
    </row>
    <row r="992" ht="14.25" customHeight="1">
      <c r="A992" s="37"/>
    </row>
    <row r="993" ht="14.25" customHeight="1">
      <c r="A993" s="37"/>
    </row>
    <row r="994" ht="14.25" customHeight="1">
      <c r="A994" s="37"/>
    </row>
    <row r="995" ht="14.25" customHeight="1">
      <c r="A995" s="37"/>
    </row>
    <row r="996" ht="14.25" customHeight="1">
      <c r="A996" s="37"/>
    </row>
    <row r="997" ht="14.25" customHeight="1">
      <c r="A997" s="37"/>
    </row>
    <row r="998" ht="14.25" customHeight="1">
      <c r="A998" s="37"/>
    </row>
    <row r="999" ht="14.25" customHeight="1">
      <c r="A999" s="37"/>
    </row>
    <row r="1000" ht="14.25" customHeight="1">
      <c r="A1000" s="3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96" t="s">
        <v>39</v>
      </c>
    </row>
    <row r="2" ht="14.25" customHeight="1"/>
    <row r="3" ht="14.25" customHeight="1">
      <c r="A3" s="97" t="s">
        <v>4</v>
      </c>
      <c r="B3" s="20"/>
      <c r="C3" s="20"/>
      <c r="D3" s="20"/>
      <c r="E3" s="20"/>
    </row>
    <row r="4" ht="14.25" customHeight="1">
      <c r="A4" s="20"/>
      <c r="B4" s="98">
        <v>2021.0</v>
      </c>
      <c r="C4" s="98">
        <v>2022.0</v>
      </c>
      <c r="D4" s="98">
        <v>2023.0</v>
      </c>
      <c r="E4" s="98">
        <v>2024.0</v>
      </c>
    </row>
    <row r="5" ht="14.25" customHeight="1">
      <c r="A5" s="41" t="s">
        <v>40</v>
      </c>
      <c r="B5" s="12">
        <v>7.5539904E7</v>
      </c>
      <c r="C5" s="12">
        <v>6.171330550000001E7</v>
      </c>
      <c r="D5" s="12">
        <v>5.75353625E7</v>
      </c>
      <c r="E5" s="12">
        <v>5.54779225E7</v>
      </c>
    </row>
    <row r="6" ht="14.25" customHeight="1">
      <c r="A6" s="99">
        <v>2021.0</v>
      </c>
      <c r="B6" s="12">
        <v>1.3186955649999999E8</v>
      </c>
      <c r="C6" s="12">
        <v>5.2597105E7</v>
      </c>
      <c r="D6" s="12">
        <v>4.5025838E7</v>
      </c>
      <c r="E6" s="12">
        <v>4.1006845E7</v>
      </c>
    </row>
    <row r="7" ht="14.25" customHeight="1">
      <c r="A7" s="99">
        <v>2022.0</v>
      </c>
      <c r="B7" s="12">
        <v>0.0</v>
      </c>
      <c r="C7" s="12">
        <v>1.061519525E8</v>
      </c>
      <c r="D7" s="12">
        <v>4.0414088E7</v>
      </c>
      <c r="E7" s="12">
        <v>3.1974173E7</v>
      </c>
    </row>
    <row r="8" ht="14.25" customHeight="1">
      <c r="A8" s="99">
        <v>2023.0</v>
      </c>
      <c r="B8" s="12">
        <v>0.0</v>
      </c>
      <c r="C8" s="12">
        <v>0.0</v>
      </c>
      <c r="D8" s="12">
        <v>1.2317463399999999E8</v>
      </c>
      <c r="E8" s="12">
        <v>4.4414436E7</v>
      </c>
    </row>
    <row r="9" ht="14.25" customHeight="1">
      <c r="A9" s="99">
        <v>2024.0</v>
      </c>
      <c r="B9" s="12">
        <v>0.0</v>
      </c>
      <c r="C9" s="12">
        <v>0.0</v>
      </c>
      <c r="D9" s="12">
        <v>0.0</v>
      </c>
      <c r="E9" s="12">
        <v>1.527273275E8</v>
      </c>
    </row>
    <row r="10" ht="14.25" customHeight="1">
      <c r="A10" s="20"/>
      <c r="B10" s="20"/>
      <c r="C10" s="20"/>
      <c r="D10" s="20"/>
      <c r="E10" s="20"/>
    </row>
    <row r="11" ht="14.25" customHeight="1">
      <c r="A11" s="97" t="s">
        <v>5</v>
      </c>
      <c r="B11" s="20"/>
      <c r="C11" s="20"/>
      <c r="D11" s="20"/>
      <c r="E11" s="20"/>
    </row>
    <row r="12" ht="14.25" customHeight="1">
      <c r="A12" s="20"/>
      <c r="B12" s="98">
        <v>2021.0</v>
      </c>
      <c r="C12" s="98">
        <v>2022.0</v>
      </c>
      <c r="D12" s="98">
        <v>2023.0</v>
      </c>
      <c r="E12" s="98">
        <v>2024.0</v>
      </c>
    </row>
    <row r="13" ht="14.25" customHeight="1">
      <c r="A13" s="41" t="s">
        <v>40</v>
      </c>
      <c r="B13" s="12">
        <v>3.74877415E7</v>
      </c>
      <c r="C13" s="12">
        <v>3.0335338E7</v>
      </c>
      <c r="D13" s="12">
        <v>2.74854745E7</v>
      </c>
      <c r="E13" s="12">
        <v>2.6831497E7</v>
      </c>
    </row>
    <row r="14" ht="14.25" customHeight="1">
      <c r="A14" s="99">
        <v>2021.0</v>
      </c>
      <c r="B14" s="12">
        <v>6.6061534E7</v>
      </c>
      <c r="C14" s="12">
        <v>2.5603149E7</v>
      </c>
      <c r="D14" s="12">
        <v>2.12661185E7</v>
      </c>
      <c r="E14" s="12">
        <v>1.9554051E7</v>
      </c>
    </row>
    <row r="15" ht="14.25" customHeight="1">
      <c r="A15" s="99">
        <v>2022.0</v>
      </c>
      <c r="B15" s="12">
        <v>0.0</v>
      </c>
      <c r="C15" s="12">
        <v>5.19678335E7</v>
      </c>
      <c r="D15" s="12">
        <v>1.9015788E7</v>
      </c>
      <c r="E15" s="12">
        <v>1.52587985E7</v>
      </c>
    </row>
    <row r="16" ht="14.25" customHeight="1">
      <c r="A16" s="99">
        <v>2023.0</v>
      </c>
      <c r="B16" s="12">
        <v>0.0</v>
      </c>
      <c r="C16" s="12">
        <v>0.0</v>
      </c>
      <c r="D16" s="12">
        <v>5.9071749E7</v>
      </c>
      <c r="E16" s="12">
        <v>2.09702955E7</v>
      </c>
    </row>
    <row r="17" ht="14.25" customHeight="1">
      <c r="A17" s="99">
        <v>2024.0</v>
      </c>
      <c r="B17" s="12">
        <v>0.0</v>
      </c>
      <c r="C17" s="12">
        <v>0.0</v>
      </c>
      <c r="D17" s="12">
        <v>0.0</v>
      </c>
      <c r="E17" s="12">
        <v>7.3401526E7</v>
      </c>
    </row>
    <row r="18" ht="14.25" customHeight="1">
      <c r="A18" s="20"/>
      <c r="B18" s="20"/>
      <c r="C18" s="20"/>
      <c r="D18" s="20"/>
      <c r="E18" s="20"/>
    </row>
    <row r="19" ht="14.25" customHeight="1">
      <c r="A19" s="97" t="s">
        <v>2</v>
      </c>
      <c r="B19" s="20"/>
      <c r="C19" s="20"/>
      <c r="D19" s="20"/>
      <c r="E19" s="20"/>
    </row>
    <row r="20" ht="14.25" customHeight="1">
      <c r="A20" s="20"/>
      <c r="B20" s="98">
        <v>2021.0</v>
      </c>
      <c r="C20" s="98">
        <v>2022.0</v>
      </c>
      <c r="D20" s="98">
        <v>2023.0</v>
      </c>
      <c r="E20" s="98">
        <v>2024.0</v>
      </c>
    </row>
    <row r="21" ht="14.25" customHeight="1">
      <c r="A21" s="41" t="s">
        <v>40</v>
      </c>
      <c r="B21" s="12">
        <v>5751.0</v>
      </c>
      <c r="C21" s="12">
        <v>4636.0</v>
      </c>
      <c r="D21" s="12">
        <v>4233.0</v>
      </c>
      <c r="E21" s="12">
        <v>3921.0</v>
      </c>
    </row>
    <row r="22" ht="14.25" customHeight="1">
      <c r="A22" s="99">
        <v>2021.0</v>
      </c>
      <c r="B22" s="12">
        <v>14915.0</v>
      </c>
      <c r="C22" s="12">
        <v>4107.0</v>
      </c>
      <c r="D22" s="12">
        <v>3491.0</v>
      </c>
      <c r="E22" s="12">
        <v>3075.0</v>
      </c>
    </row>
    <row r="23" ht="14.25" customHeight="1">
      <c r="A23" s="99">
        <v>2022.0</v>
      </c>
      <c r="B23" s="12"/>
      <c r="C23" s="12">
        <v>12720.0</v>
      </c>
      <c r="D23" s="12">
        <v>3389.0</v>
      </c>
      <c r="E23" s="12">
        <v>2686.0</v>
      </c>
    </row>
    <row r="24" ht="14.25" customHeight="1">
      <c r="A24" s="99">
        <v>2023.0</v>
      </c>
      <c r="B24" s="12"/>
      <c r="C24" s="12"/>
      <c r="D24" s="12">
        <v>15166.0</v>
      </c>
      <c r="E24" s="12">
        <v>3799.0</v>
      </c>
    </row>
    <row r="25" ht="14.25" customHeight="1">
      <c r="A25" s="99">
        <v>2024.0</v>
      </c>
      <c r="B25" s="12"/>
      <c r="C25" s="12"/>
      <c r="D25" s="12"/>
      <c r="E25" s="12">
        <v>18316.0</v>
      </c>
    </row>
    <row r="26" ht="14.25" customHeight="1">
      <c r="A26" s="20"/>
      <c r="B26" s="20"/>
      <c r="C26" s="20"/>
      <c r="D26" s="20"/>
      <c r="E26" s="20"/>
    </row>
    <row r="27" ht="14.25" customHeight="1">
      <c r="A27" s="97" t="s">
        <v>3</v>
      </c>
      <c r="B27" s="20"/>
      <c r="C27" s="20"/>
      <c r="D27" s="20"/>
      <c r="E27" s="20"/>
    </row>
    <row r="28" ht="14.25" customHeight="1">
      <c r="A28" s="20"/>
      <c r="B28" s="98">
        <v>2021.0</v>
      </c>
      <c r="C28" s="98">
        <v>2022.0</v>
      </c>
      <c r="D28" s="98">
        <v>2023.0</v>
      </c>
      <c r="E28" s="98">
        <v>2024.0</v>
      </c>
    </row>
    <row r="29" ht="14.25" customHeight="1">
      <c r="A29" s="41" t="s">
        <v>40</v>
      </c>
      <c r="B29" s="12">
        <v>13739.0</v>
      </c>
      <c r="C29" s="12">
        <v>11475.0</v>
      </c>
      <c r="D29" s="12">
        <v>11331.0</v>
      </c>
      <c r="E29" s="12">
        <v>10581.0</v>
      </c>
    </row>
    <row r="30" ht="14.25" customHeight="1">
      <c r="A30" s="99">
        <v>2021.0</v>
      </c>
      <c r="B30" s="12">
        <v>22911.0</v>
      </c>
      <c r="C30" s="12">
        <v>10035.0</v>
      </c>
      <c r="D30" s="12">
        <v>9346.0</v>
      </c>
      <c r="E30" s="12">
        <v>8197.0</v>
      </c>
    </row>
    <row r="31" ht="14.25" customHeight="1">
      <c r="A31" s="99">
        <v>2022.0</v>
      </c>
      <c r="B31" s="12"/>
      <c r="C31" s="12">
        <v>18640.0</v>
      </c>
      <c r="D31" s="12">
        <v>7992.0</v>
      </c>
      <c r="E31" s="12">
        <v>6336.0</v>
      </c>
    </row>
    <row r="32" ht="14.25" customHeight="1">
      <c r="A32" s="99">
        <v>2023.0</v>
      </c>
      <c r="B32" s="12"/>
      <c r="C32" s="12"/>
      <c r="D32" s="12">
        <v>22735.0</v>
      </c>
      <c r="E32" s="12">
        <v>9002.0</v>
      </c>
    </row>
    <row r="33" ht="14.25" customHeight="1">
      <c r="A33" s="99">
        <v>2024.0</v>
      </c>
      <c r="B33" s="12"/>
      <c r="C33" s="12"/>
      <c r="D33" s="12"/>
      <c r="E33" s="12">
        <v>27144.0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